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xr:revisionPtr revIDLastSave="0" documentId="8_{18BA65E9-1D7C-4D62-B975-ECE91834FE4A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ivot_Montly_Sales" sheetId="2" r:id="rId1"/>
    <sheet name="Pivot_Region_Sales" sheetId="3" r:id="rId2"/>
    <sheet name="Dashboard" sheetId="7" r:id="rId3"/>
    <sheet name="Pivot_Category_Sales" sheetId="4" r:id="rId4"/>
    <sheet name="Pivot_Product" sheetId="5" r:id="rId5"/>
    <sheet name="Pivot_Weekday" sheetId="6" r:id="rId6"/>
    <sheet name="Cleaned_Data" sheetId="1" r:id="rId7"/>
  </sheets>
  <definedNames>
    <definedName name="Slicer_Category">#N/A</definedName>
    <definedName name="Slicer_Region">#N/A</definedName>
  </definedNames>
  <calcPr calcId="191028"/>
  <pivotCaches>
    <pivotCache cacheId="4098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2" i="1"/>
  <c r="O3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</calcChain>
</file>

<file path=xl/sharedStrings.xml><?xml version="1.0" encoding="utf-8"?>
<sst xmlns="http://schemas.openxmlformats.org/spreadsheetml/2006/main" count="392" uniqueCount="47">
  <si>
    <t>Month_Name</t>
  </si>
  <si>
    <t>Sum of Total_Amount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</si>
  <si>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</si>
  <si>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</si>
  <si>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</si>
  <si>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</si>
  <si>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</si>
  <si>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</si>
  <si>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</si>
  <si>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</si>
  <si>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</si>
  <si>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</si>
  <si>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</si>
  <si>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</si>
  <si>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</si>
  <si>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Region</t>
  </si>
  <si>
    <t>Total Sales</t>
  </si>
  <si>
    <t>East</t>
  </si>
  <si>
    <t>North</t>
  </si>
  <si>
    <t>South</t>
  </si>
  <si>
    <t>West</t>
  </si>
  <si>
    <t>Best Region</t>
  </si>
  <si>
    <t>Best Month</t>
  </si>
  <si>
    <t>Category</t>
  </si>
  <si>
    <t>Electronics</t>
  </si>
  <si>
    <t>Furniture</t>
  </si>
  <si>
    <t>Office Supplies</t>
  </si>
  <si>
    <t>Product</t>
  </si>
  <si>
    <t>Laptop</t>
  </si>
  <si>
    <t>Mobile</t>
  </si>
  <si>
    <t>Monitor</t>
  </si>
  <si>
    <t>Chair</t>
  </si>
  <si>
    <t>Printer</t>
  </si>
  <si>
    <t>Desk</t>
  </si>
  <si>
    <t>Day_Type</t>
  </si>
  <si>
    <t>Weekday</t>
  </si>
  <si>
    <t>Weekend</t>
  </si>
  <si>
    <t>Order_ID</t>
  </si>
  <si>
    <t>Order_Date</t>
  </si>
  <si>
    <t>Year</t>
  </si>
  <si>
    <t>Month_Number</t>
  </si>
  <si>
    <t>Quarter</t>
  </si>
  <si>
    <t>Year_Month</t>
  </si>
  <si>
    <t>Day_Name</t>
  </si>
  <si>
    <t>Sales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</si>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</sst>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[$-14009]dd/mm/yyyy;@"/>
  </numFmts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  <xf numFmtId="14" fontId="0" fillId="0" borderId="0" xfId="0" applyNumberFormat="1"/>
    <xf numFmtId="165" fontId="2" fillId="0" borderId="0" xfId="0" applyNumberFormat="1" applyFont="1"/>
    <xf numFmtId="165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dd/mm/yyyy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[Sales_Performance_Analysis.xlsx.xlsx]Pivot_Montly_Sales!PivotTable1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Pivot_Montly_Sales!$A$4:$A$16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Pivot_Montly_Sales!$B$4:$B$16</c:f>
              <c:numCache>
                <c:formatCode>General</c:formatCode>
                <c:ptCount val="12"/>
                <c:pt idx="0">
                  <c:v>235400</c:v>
                </c:pt>
                <c:pt idx="1">
                  <c:v>258500</c:v>
                </c:pt>
                <c:pt idx="2">
                  <c:v>268100</c:v>
                </c:pt>
                <c:pt idx="3">
                  <c:v>338100</c:v>
                </c:pt>
                <c:pt idx="4">
                  <c:v>445700</c:v>
                </c:pt>
                <c:pt idx="5">
                  <c:v>264000</c:v>
                </c:pt>
                <c:pt idx="6">
                  <c:v>375400</c:v>
                </c:pt>
                <c:pt idx="7">
                  <c:v>321100</c:v>
                </c:pt>
                <c:pt idx="8">
                  <c:v>109200</c:v>
                </c:pt>
                <c:pt idx="9">
                  <c:v>127300</c:v>
                </c:pt>
                <c:pt idx="10">
                  <c:v>98400</c:v>
                </c:pt>
                <c:pt idx="11">
                  <c:v>97300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42-4B23-9D8B-EFE09669A0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251249159"/>
        <c:axId val="251251207"/>
      </c:barChart>
      <c:catAx>
        <c:axId val="251249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51207"/>
        <c:crosses val="autoZero"/>
        <c:auto val="1"/>
        <c:lblAlgn val="ctr"/>
        <c:lblOffset val="100"/>
        <c:noMultiLvlLbl val="0"/>
      </c:catAx>
      <c:valAx>
        <c:axId val="25125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91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[Sales_Performance_Analysis.xlsx.xlsx]Pivot_Region_Sales!PivotTable2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Pivot_Region_Sales!$A$4:$A$8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Pivot_Region_Sales!$B$4:$B$8</c:f>
              <c:numCache>
                <c:formatCode>General</c:formatCode>
                <c:ptCount val="4"/>
                <c:pt idx="0">
                  <c:v>614900</c:v>
                </c:pt>
                <c:pt idx="1">
                  <c:v>838800</c:v>
                </c:pt>
                <c:pt idx="2">
                  <c:v>544900</c:v>
                </c:pt>
                <c:pt idx="3">
                  <c:v>939900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34-4F50-83AF-D0E9E9172D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2142348808"/>
        <c:axId val="2142350856"/>
      </c:barChart>
      <c:catAx>
        <c:axId val="214234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50856"/>
        <c:crosses val="autoZero"/>
        <c:auto val="1"/>
        <c:lblAlgn val="ctr"/>
        <c:lblOffset val="100"/>
        <c:noMultiLvlLbl val="0"/>
      </c:catAx>
      <c:valAx>
        <c:axId val="21423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6260338291046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488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[Sales_Performance_Analysis.xlsx.xlsx]Pivot_Montly_Sales!PivotTable1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Pivot_Montly_Sales!$A$4:$A$16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Pivot_Montly_Sales!$B$4:$B$16</c:f>
              <c:numCache>
                <c:formatCode>General</c:formatCode>
                <c:ptCount val="12"/>
                <c:pt idx="0">
                  <c:v>235400</c:v>
                </c:pt>
                <c:pt idx="1">
                  <c:v>258500</c:v>
                </c:pt>
                <c:pt idx="2">
                  <c:v>268100</c:v>
                </c:pt>
                <c:pt idx="3">
                  <c:v>338100</c:v>
                </c:pt>
                <c:pt idx="4">
                  <c:v>445700</c:v>
                </c:pt>
                <c:pt idx="5">
                  <c:v>264000</c:v>
                </c:pt>
                <c:pt idx="6">
                  <c:v>375400</c:v>
                </c:pt>
                <c:pt idx="7">
                  <c:v>321100</c:v>
                </c:pt>
                <c:pt idx="8">
                  <c:v>109200</c:v>
                </c:pt>
                <c:pt idx="9">
                  <c:v>127300</c:v>
                </c:pt>
                <c:pt idx="10">
                  <c:v>98400</c:v>
                </c:pt>
                <c:pt idx="11">
                  <c:v>97300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6-4126-8457-55B0872B61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251249159"/>
        <c:axId val="251251207"/>
      </c:barChart>
      <c:catAx>
        <c:axId val="251249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51207"/>
        <c:crosses val="autoZero"/>
        <c:auto val="1"/>
        <c:lblAlgn val="ctr"/>
        <c:lblOffset val="100"/>
        <c:noMultiLvlLbl val="0"/>
      </c:catAx>
      <c:valAx>
        <c:axId val="25125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91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[Sales_Performance_Analysis.xlsx.xlsx]Pivot_Region_Sales!PivotTable2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Pivot_Region_Sales!$A$4:$A$8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Pivot_Region_Sales!$B$4:$B$8</c:f>
              <c:numCache>
                <c:formatCode>General</c:formatCode>
                <c:ptCount val="4"/>
                <c:pt idx="0">
                  <c:v>614900</c:v>
                </c:pt>
                <c:pt idx="1">
                  <c:v>838800</c:v>
                </c:pt>
                <c:pt idx="2">
                  <c:v>544900</c:v>
                </c:pt>
                <c:pt idx="3">
                  <c:v>939900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3-49CE-AC3B-A83220BDC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2142348808"/>
        <c:axId val="2142350856"/>
      </c:barChart>
      <c:catAx>
        <c:axId val="214234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50856"/>
        <c:crosses val="autoZero"/>
        <c:auto val="1"/>
        <c:lblAlgn val="ctr"/>
        <c:lblOffset val="100"/>
        <c:noMultiLvlLbl val="0"/>
      </c:catAx>
      <c:valAx>
        <c:axId val="21423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3.4722222222222224E-2"/>
              <c:y val="0.585755238222340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488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[Sales_Performance_Analysis.xlsx.xlsx]Pivot_Category_Sales!PivotTable3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Pivot_Category_Sales!$A$4:$A$7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2072800</c:v>
                </c:pt>
                <c:pt idx="1">
                  <c:v>568900</c:v>
                </c:pt>
                <c:pt idx="2">
                  <c:v>296800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9-4F6E-8F4E-E40B393AC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953939463"/>
        <c:axId val="1953941511"/>
      </c:barChart>
      <c:catAx>
        <c:axId val="1953939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41511"/>
        <c:crosses val="autoZero"/>
        <c:auto val="1"/>
        <c:lblAlgn val="ctr"/>
        <c:lblOffset val="100"/>
        <c:noMultiLvlLbl val="0"/>
      </c:catAx>
      <c:valAx>
        <c:axId val="195394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Amount</a:t>
                </a:r>
              </a:p>
            </c:rich>
          </c:tx>
          <c:layout>
            <c:manualLayout>
              <c:xMode val="edge"/>
              <c:yMode val="edge"/>
              <c:x val="3.0619345859429367E-2"/>
              <c:y val="0.55912534581825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3946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[Sales_Performance_Analysis.xlsx.xlsx]Pivot_Category_Sales!PivotTable3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Pivot_Category_Sales!$A$4:$A$7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2072800</c:v>
                </c:pt>
                <c:pt idx="1">
                  <c:v>568900</c:v>
                </c:pt>
                <c:pt idx="2">
                  <c:v>296800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E4-46EA-B212-FE44F41DF6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953939463"/>
        <c:axId val="1953941511"/>
      </c:barChart>
      <c:catAx>
        <c:axId val="1953939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41511"/>
        <c:crosses val="autoZero"/>
        <c:auto val="1"/>
        <c:lblAlgn val="ctr"/>
        <c:lblOffset val="100"/>
        <c:noMultiLvlLbl val="0"/>
      </c:catAx>
      <c:valAx>
        <c:axId val="195394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Amount</a:t>
                </a:r>
              </a:p>
            </c:rich>
          </c:tx>
          <c:layout>
            <c:manualLayout>
              <c:xMode val="edge"/>
              <c:yMode val="edge"/>
              <c:x val="2.6388888888888889E-2"/>
              <c:y val="0.59201771653543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3946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 descr="Chart type: Clustered Column. 'Total_Amount' by 'Month_Name'&#10;&#10;Description automatically generated">
          <a:extLst>
            <a:ext uri="{FF2B5EF4-FFF2-40B4-BE49-F238E27FC236}">
              <a16:creationId xmlns:a16="http://schemas.microsoft.com/office/drawing/2014/main" id="{06BEC5D8-1B05-3B24-5B40-C77D21350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 descr="Chart type: Clustered Column. 'Total_Amount' by 'Region'&#10;&#10;Description automatically generated">
          <a:extLst>
            <a:ext uri="{FF2B5EF4-FFF2-40B4-BE49-F238E27FC236}">
              <a16:creationId xmlns:a16="http://schemas.microsoft.com/office/drawing/2014/main" id="{CC4E0DC9-8FE5-938D-63E3-7D99296F7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466725</xdr:colOff>
      <xdr:row>2</xdr:row>
      <xdr:rowOff>180975</xdr:rowOff>
    </xdr:from>
    <xdr:to>
      <xdr:col>14</xdr:col>
      <xdr:colOff>466725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1C3CF676-7722-B36C-E301-60E634491052}"/>
                </a:ext>
                <a:ext uri="{147F2762-F138-4A5C-976F-8EAC2B608ADB}">
                  <a16:predDERef xmlns:a16="http://schemas.microsoft.com/office/drawing/2014/main" pred="{CC4E0DC9-8FE5-938D-63E3-7D99296F7D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9025" y="561975"/>
              <a:ext cx="182880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314325</xdr:colOff>
      <xdr:row>3</xdr:row>
      <xdr:rowOff>0</xdr:rowOff>
    </xdr:from>
    <xdr:to>
      <xdr:col>18</xdr:col>
      <xdr:colOff>314325</xdr:colOff>
      <xdr:row>12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77E7E9F7-2599-5362-6629-072B0D964BE8}"/>
                </a:ext>
                <a:ext uri="{147F2762-F138-4A5C-976F-8EAC2B608ADB}">
                  <a16:predDERef xmlns:a16="http://schemas.microsoft.com/office/drawing/2014/main" pred="{1C3CF676-7722-B36C-E301-60E6344910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5025" y="571500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238125</xdr:rowOff>
    </xdr:from>
    <xdr:to>
      <xdr:col>10</xdr:col>
      <xdr:colOff>38100</xdr:colOff>
      <xdr:row>14</xdr:row>
      <xdr:rowOff>304800</xdr:rowOff>
    </xdr:to>
    <xdr:graphicFrame macro="">
      <xdr:nvGraphicFramePr>
        <xdr:cNvPr id="2" name="Chart 1" descr="Chart type: Clustered Column. 'Total_Amount' by 'Month_Name'&#10;&#10;Description automatically generated">
          <a:extLst>
            <a:ext uri="{FF2B5EF4-FFF2-40B4-BE49-F238E27FC236}">
              <a16:creationId xmlns:a16="http://schemas.microsoft.com/office/drawing/2014/main" id="{A9965D52-E3CE-45AE-9FE5-3FD03F455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1028700</xdr:colOff>
      <xdr:row>15</xdr:row>
      <xdr:rowOff>285750</xdr:rowOff>
    </xdr:from>
    <xdr:to>
      <xdr:col>5</xdr:col>
      <xdr:colOff>361950</xdr:colOff>
      <xdr:row>24</xdr:row>
      <xdr:rowOff>266700</xdr:rowOff>
    </xdr:to>
    <xdr:graphicFrame macro="">
      <xdr:nvGraphicFramePr>
        <xdr:cNvPr id="3" name="Chart 2" descr="Chart type: Clustered Column. 'Total_Amount' by 'Region'&#10;&#10;Description automatically generated">
          <a:extLst>
            <a:ext uri="{FF2B5EF4-FFF2-40B4-BE49-F238E27FC236}">
              <a16:creationId xmlns:a16="http://schemas.microsoft.com/office/drawing/2014/main" id="{0FA7E28E-6A63-4B71-AADB-36BAF11331D5}"/>
            </a:ext>
            <a:ext uri="{147F2762-F138-4A5C-976F-8EAC2B608ADB}">
              <a16:predDERef xmlns:a16="http://schemas.microsoft.com/office/drawing/2014/main" pred="{A9965D52-E3CE-45AE-9FE5-3FD03F455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742950</xdr:colOff>
      <xdr:row>15</xdr:row>
      <xdr:rowOff>276225</xdr:rowOff>
    </xdr:from>
    <xdr:to>
      <xdr:col>10</xdr:col>
      <xdr:colOff>66675</xdr:colOff>
      <xdr:row>24</xdr:row>
      <xdr:rowOff>266700</xdr:rowOff>
    </xdr:to>
    <xdr:graphicFrame macro="">
      <xdr:nvGraphicFramePr>
        <xdr:cNvPr id="4" name="Chart 3" descr="Chart type: Clustered Column. 'Total_Amount' by 'Category'&#10;&#10;Description automatically generated">
          <a:extLst>
            <a:ext uri="{FF2B5EF4-FFF2-40B4-BE49-F238E27FC236}">
              <a16:creationId xmlns:a16="http://schemas.microsoft.com/office/drawing/2014/main" id="{971EEA2F-EBE8-4AAE-BC1E-A2DC3551FEAA}"/>
            </a:ext>
            <a:ext uri="{147F2762-F138-4A5C-976F-8EAC2B608ADB}">
              <a16:predDERef xmlns:a16="http://schemas.microsoft.com/office/drawing/2014/main" pred="{0FA7E28E-6A63-4B71-AADB-36BAF1133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 descr="Chart type: Clustered Column. 'Total_Amount' by 'Category'&#10;&#10;Description automatically generated">
          <a:extLst>
            <a:ext uri="{FF2B5EF4-FFF2-40B4-BE49-F238E27FC236}">
              <a16:creationId xmlns:a16="http://schemas.microsoft.com/office/drawing/2014/main" id="{531D8EF1-88A6-B67C-425B-8F59DE3F6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4.435185648152" createdVersion="8" refreshedVersion="8" minRefreshableVersion="3" recordCount="110" xr:uid="{5E53D7CF-6BB1-433F-8835-6D92C868B9F6}">
  <cacheSource type="worksheet">
    <worksheetSource name="Table1"/>
  </cacheSource>
  <cacheFields count="15">
    <cacheField name="Order_ID" numFmtId="0">
      <sharedItems containsSemiMixedTypes="0" containsString="0" containsNumber="1" containsInteger="1" minValue="1001" maxValue="1160"/>
    </cacheField>
    <cacheField name="Order_Date" numFmtId="165">
      <sharedItems containsSemiMixedTypes="0" containsNonDate="0" containsDate="1" containsString="0" minDate="2024-01-01T00:00:00" maxDate="2024-12-08T00:00:00"/>
    </cacheField>
    <cacheField name="Year" numFmtId="0">
      <sharedItems containsSemiMixedTypes="0" containsString="0" containsNumber="1" containsInteger="1" minValue="2024" maxValue="2024"/>
    </cacheField>
    <cacheField name="Month_Number" numFmtId="0">
      <sharedItems containsSemiMixedTypes="0" containsString="0" containsNumber="1" containsInteger="1" minValue="1" maxValue="12"/>
    </cacheField>
    <cacheField name="Month_Name" numFmtId="0">
      <sharedItems count="12">
        <s v="January"/>
        <s v="May"/>
        <s v="July"/>
        <s v="October"/>
        <s v="December"/>
        <s v="February"/>
        <s v="August"/>
        <s v="April"/>
        <s v="March"/>
        <s v="September"/>
        <s v="November"/>
        <s v="June"/>
      </sharedItems>
    </cacheField>
    <cacheField name="Quarter" numFmtId="0">
      <sharedItems/>
    </cacheField>
    <cacheField name="Year_Month" numFmtId="0">
      <sharedItems/>
    </cacheField>
    <cacheField name="Day_Name" numFmtId="0">
      <sharedItems/>
    </cacheField>
    <cacheField name="Day_Type" numFmtId="0">
      <sharedItems count="2">
        <s v="Weekday"/>
        <s v="Weekend"/>
      </sharedItems>
    </cacheField>
    <cacheField name="Region" numFmtId="0">
      <sharedItems count="4">
        <s v="East"/>
        <s v="West"/>
        <s v="South"/>
        <s v="North"/>
      </sharedItems>
    </cacheField>
    <cacheField name="Product" numFmtId="0">
      <sharedItems count="6">
        <s v="Laptop"/>
        <s v="Mobile"/>
        <s v="Chair"/>
        <s v="Desk"/>
        <s v="Printer"/>
        <s v="Monitor"/>
      </sharedItems>
    </cacheField>
    <cacheField name="Category" numFmtId="0">
      <sharedItems count="3">
        <s v="Electronics"/>
        <s v="Furniture"/>
        <s v="Office Supplies"/>
      </sharedItems>
    </cacheField>
    <cacheField name="Sales" numFmtId="0">
      <sharedItems containsSemiMixedTypes="0" containsString="0" containsNumber="1" containsInteger="1" minValue="7500" maxValue="70000"/>
    </cacheField>
    <cacheField name="Quantity" numFmtId="0">
      <sharedItems containsSemiMixedTypes="0" containsString="0" containsNumber="1" containsInteger="1" minValue="1" maxValue="2"/>
    </cacheField>
    <cacheField name="Total_Amount" numFmtId="0">
      <sharedItems containsSemiMixedTypes="0" containsString="0" containsNumber="1" containsInteger="1" minValue="11000" maxValue="70000"/>
    </cacheField>
  </cacheFields>
  <extLst>
    <ext xmlns:x14="http://schemas.microsoft.com/office/spreadsheetml/2009/9/main" uri="{725AE2AE-9491-48be-B2B4-4EB974FC3084}">
      <x14:pivotCacheDefinition pivotCacheId="18944591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1001"/>
    <d v="2024-01-01T00:00:00"/>
    <n v="2024"/>
    <n v="1"/>
    <x v="0"/>
    <s v="Q1"/>
    <s v="2024-01"/>
    <s v="Monday"/>
    <x v="0"/>
    <x v="0"/>
    <x v="0"/>
    <x v="0"/>
    <n v="55000"/>
    <n v="1"/>
    <n v="55000"/>
  </r>
  <r>
    <n v="1002"/>
    <d v="2024-05-15T00:00:00"/>
    <n v="2024"/>
    <n v="5"/>
    <x v="1"/>
    <s v="Q2"/>
    <s v="2024-05"/>
    <s v="Wednesday"/>
    <x v="0"/>
    <x v="1"/>
    <x v="1"/>
    <x v="0"/>
    <n v="22000"/>
    <n v="1"/>
    <n v="22000"/>
  </r>
  <r>
    <n v="1003"/>
    <d v="2024-05-01T00:00:00"/>
    <n v="2024"/>
    <n v="5"/>
    <x v="1"/>
    <s v="Q2"/>
    <s v="2024-05"/>
    <s v="Wednesday"/>
    <x v="0"/>
    <x v="2"/>
    <x v="2"/>
    <x v="1"/>
    <n v="8000"/>
    <n v="2"/>
    <n v="16000"/>
  </r>
  <r>
    <n v="1004"/>
    <d v="2024-07-01T00:00:00"/>
    <n v="2024"/>
    <n v="7"/>
    <x v="2"/>
    <s v="Q3"/>
    <s v="2024-07"/>
    <s v="Monday"/>
    <x v="0"/>
    <x v="3"/>
    <x v="3"/>
    <x v="1"/>
    <n v="12000"/>
    <n v="1"/>
    <n v="12000"/>
  </r>
  <r>
    <n v="1005"/>
    <d v="2024-10-01T00:00:00"/>
    <n v="2024"/>
    <n v="10"/>
    <x v="3"/>
    <s v="Q4"/>
    <s v="2024-10"/>
    <s v="Tuesday"/>
    <x v="0"/>
    <x v="0"/>
    <x v="4"/>
    <x v="2"/>
    <n v="15000"/>
    <n v="1"/>
    <n v="15000"/>
  </r>
  <r>
    <n v="1006"/>
    <d v="2024-12-01T00:00:00"/>
    <n v="2024"/>
    <n v="12"/>
    <x v="4"/>
    <s v="Q4"/>
    <s v="2024-12"/>
    <s v="Sunday"/>
    <x v="1"/>
    <x v="1"/>
    <x v="5"/>
    <x v="0"/>
    <n v="18000"/>
    <n v="1"/>
    <n v="18000"/>
  </r>
  <r>
    <n v="1007"/>
    <d v="2024-01-15T00:00:00"/>
    <n v="2024"/>
    <n v="1"/>
    <x v="0"/>
    <s v="Q1"/>
    <s v="2024-01"/>
    <s v="Monday"/>
    <x v="0"/>
    <x v="2"/>
    <x v="1"/>
    <x v="0"/>
    <n v="24000"/>
    <n v="1"/>
    <n v="24000"/>
  </r>
  <r>
    <n v="1008"/>
    <d v="2024-01-18T00:00:00"/>
    <n v="2024"/>
    <n v="1"/>
    <x v="0"/>
    <s v="Q1"/>
    <s v="2024-01"/>
    <s v="Thursday"/>
    <x v="0"/>
    <x v="3"/>
    <x v="2"/>
    <x v="1"/>
    <n v="9000"/>
    <n v="2"/>
    <n v="18000"/>
  </r>
  <r>
    <n v="1009"/>
    <d v="2024-01-20T00:00:00"/>
    <n v="2024"/>
    <n v="1"/>
    <x v="0"/>
    <s v="Q1"/>
    <s v="2024-01"/>
    <s v="Saturday"/>
    <x v="1"/>
    <x v="0"/>
    <x v="3"/>
    <x v="1"/>
    <n v="13000"/>
    <n v="1"/>
    <n v="13000"/>
  </r>
  <r>
    <n v="1010"/>
    <d v="2024-01-22T00:00:00"/>
    <n v="2024"/>
    <n v="1"/>
    <x v="0"/>
    <s v="Q1"/>
    <s v="2024-01"/>
    <s v="Monday"/>
    <x v="0"/>
    <x v="1"/>
    <x v="0"/>
    <x v="0"/>
    <n v="60000"/>
    <n v="1"/>
    <n v="60000"/>
  </r>
  <r>
    <n v="1011"/>
    <d v="2024-02-02T00:00:00"/>
    <n v="2024"/>
    <n v="2"/>
    <x v="5"/>
    <s v="Q1"/>
    <s v="2024-02"/>
    <s v="Friday"/>
    <x v="0"/>
    <x v="2"/>
    <x v="4"/>
    <x v="2"/>
    <n v="14000"/>
    <n v="1"/>
    <n v="14000"/>
  </r>
  <r>
    <n v="1012"/>
    <d v="2024-05-02T00:00:00"/>
    <n v="2024"/>
    <n v="5"/>
    <x v="1"/>
    <s v="Q2"/>
    <s v="2024-05"/>
    <s v="Thursday"/>
    <x v="0"/>
    <x v="3"/>
    <x v="5"/>
    <x v="0"/>
    <n v="20000"/>
    <n v="1"/>
    <n v="20000"/>
  </r>
  <r>
    <n v="1013"/>
    <d v="2024-08-02T00:00:00"/>
    <n v="2024"/>
    <n v="8"/>
    <x v="6"/>
    <s v="Q3"/>
    <s v="2024-08"/>
    <s v="Friday"/>
    <x v="0"/>
    <x v="0"/>
    <x v="1"/>
    <x v="0"/>
    <n v="26000"/>
    <n v="1"/>
    <n v="26000"/>
  </r>
  <r>
    <n v="1014"/>
    <d v="2024-10-02T00:00:00"/>
    <n v="2024"/>
    <n v="10"/>
    <x v="3"/>
    <s v="Q4"/>
    <s v="2024-10"/>
    <s v="Wednesday"/>
    <x v="0"/>
    <x v="1"/>
    <x v="2"/>
    <x v="1"/>
    <n v="7500"/>
    <n v="2"/>
    <n v="15000"/>
  </r>
  <r>
    <n v="1015"/>
    <d v="2024-12-02T00:00:00"/>
    <n v="2024"/>
    <n v="12"/>
    <x v="4"/>
    <s v="Q4"/>
    <s v="2024-12"/>
    <s v="Monday"/>
    <x v="0"/>
    <x v="2"/>
    <x v="3"/>
    <x v="1"/>
    <n v="11000"/>
    <n v="1"/>
    <n v="11000"/>
  </r>
  <r>
    <n v="1016"/>
    <d v="2024-02-15T00:00:00"/>
    <n v="2024"/>
    <n v="2"/>
    <x v="5"/>
    <s v="Q1"/>
    <s v="2024-02"/>
    <s v="Thursday"/>
    <x v="0"/>
    <x v="3"/>
    <x v="0"/>
    <x v="0"/>
    <n v="58000"/>
    <n v="1"/>
    <n v="58000"/>
  </r>
  <r>
    <n v="1017"/>
    <d v="2024-02-18T00:00:00"/>
    <n v="2024"/>
    <n v="2"/>
    <x v="5"/>
    <s v="Q1"/>
    <s v="2024-02"/>
    <s v="Sunday"/>
    <x v="1"/>
    <x v="0"/>
    <x v="4"/>
    <x v="2"/>
    <n v="16000"/>
    <n v="1"/>
    <n v="16000"/>
  </r>
  <r>
    <n v="1018"/>
    <d v="2024-02-20T00:00:00"/>
    <n v="2024"/>
    <n v="2"/>
    <x v="5"/>
    <s v="Q1"/>
    <s v="2024-02"/>
    <s v="Tuesday"/>
    <x v="0"/>
    <x v="1"/>
    <x v="5"/>
    <x v="0"/>
    <n v="21000"/>
    <n v="1"/>
    <n v="21000"/>
  </r>
  <r>
    <n v="1019"/>
    <d v="2024-02-22T00:00:00"/>
    <n v="2024"/>
    <n v="2"/>
    <x v="5"/>
    <s v="Q1"/>
    <s v="2024-02"/>
    <s v="Thursday"/>
    <x v="0"/>
    <x v="2"/>
    <x v="1"/>
    <x v="0"/>
    <n v="23000"/>
    <n v="1"/>
    <n v="23000"/>
  </r>
  <r>
    <n v="1020"/>
    <d v="2024-02-25T00:00:00"/>
    <n v="2024"/>
    <n v="2"/>
    <x v="5"/>
    <s v="Q1"/>
    <s v="2024-02"/>
    <s v="Sunday"/>
    <x v="1"/>
    <x v="3"/>
    <x v="2"/>
    <x v="1"/>
    <n v="8500"/>
    <n v="2"/>
    <n v="17000"/>
  </r>
  <r>
    <n v="1021"/>
    <d v="2024-01-03T00:00:00"/>
    <n v="2024"/>
    <n v="1"/>
    <x v="0"/>
    <s v="Q1"/>
    <s v="2024-01"/>
    <s v="Wednesday"/>
    <x v="0"/>
    <x v="0"/>
    <x v="3"/>
    <x v="1"/>
    <n v="14000"/>
    <n v="1"/>
    <n v="14000"/>
  </r>
  <r>
    <n v="1022"/>
    <d v="2024-04-03T00:00:00"/>
    <n v="2024"/>
    <n v="4"/>
    <x v="7"/>
    <s v="Q2"/>
    <s v="2024-04"/>
    <s v="Wednesday"/>
    <x v="0"/>
    <x v="1"/>
    <x v="0"/>
    <x v="0"/>
    <n v="62000"/>
    <n v="1"/>
    <n v="62000"/>
  </r>
  <r>
    <n v="1023"/>
    <d v="2024-07-03T00:00:00"/>
    <n v="2024"/>
    <n v="7"/>
    <x v="2"/>
    <s v="Q3"/>
    <s v="2024-07"/>
    <s v="Wednesday"/>
    <x v="0"/>
    <x v="2"/>
    <x v="4"/>
    <x v="2"/>
    <n v="15500"/>
    <n v="1"/>
    <n v="15500"/>
  </r>
  <r>
    <n v="1024"/>
    <d v="2024-10-03T00:00:00"/>
    <n v="2024"/>
    <n v="10"/>
    <x v="3"/>
    <s v="Q4"/>
    <s v="2024-10"/>
    <s v="Thursday"/>
    <x v="0"/>
    <x v="3"/>
    <x v="5"/>
    <x v="0"/>
    <n v="19500"/>
    <n v="1"/>
    <n v="19500"/>
  </r>
  <r>
    <n v="1025"/>
    <d v="2024-12-03T00:00:00"/>
    <n v="2024"/>
    <n v="12"/>
    <x v="4"/>
    <s v="Q4"/>
    <s v="2024-12"/>
    <s v="Tuesday"/>
    <x v="0"/>
    <x v="0"/>
    <x v="1"/>
    <x v="0"/>
    <n v="27000"/>
    <n v="1"/>
    <n v="27000"/>
  </r>
  <r>
    <n v="1026"/>
    <d v="2024-03-15T00:00:00"/>
    <n v="2024"/>
    <n v="3"/>
    <x v="8"/>
    <s v="Q1"/>
    <s v="2024-03"/>
    <s v="Friday"/>
    <x v="0"/>
    <x v="1"/>
    <x v="2"/>
    <x v="1"/>
    <n v="8200"/>
    <n v="2"/>
    <n v="16400"/>
  </r>
  <r>
    <n v="1027"/>
    <d v="2024-03-18T00:00:00"/>
    <n v="2024"/>
    <n v="3"/>
    <x v="8"/>
    <s v="Q1"/>
    <s v="2024-03"/>
    <s v="Monday"/>
    <x v="0"/>
    <x v="2"/>
    <x v="3"/>
    <x v="1"/>
    <n v="12500"/>
    <n v="1"/>
    <n v="12500"/>
  </r>
  <r>
    <n v="1028"/>
    <d v="2024-03-20T00:00:00"/>
    <n v="2024"/>
    <n v="3"/>
    <x v="8"/>
    <s v="Q1"/>
    <s v="2024-03"/>
    <s v="Wednesday"/>
    <x v="0"/>
    <x v="3"/>
    <x v="0"/>
    <x v="0"/>
    <n v="59000"/>
    <n v="1"/>
    <n v="59000"/>
  </r>
  <r>
    <n v="1029"/>
    <d v="2024-03-23T00:00:00"/>
    <n v="2024"/>
    <n v="3"/>
    <x v="8"/>
    <s v="Q1"/>
    <s v="2024-03"/>
    <s v="Saturday"/>
    <x v="1"/>
    <x v="0"/>
    <x v="4"/>
    <x v="2"/>
    <n v="16500"/>
    <n v="1"/>
    <n v="16500"/>
  </r>
  <r>
    <n v="1030"/>
    <d v="2024-03-26T00:00:00"/>
    <n v="2024"/>
    <n v="3"/>
    <x v="8"/>
    <s v="Q1"/>
    <s v="2024-03"/>
    <s v="Tuesday"/>
    <x v="0"/>
    <x v="1"/>
    <x v="5"/>
    <x v="0"/>
    <n v="20500"/>
    <n v="1"/>
    <n v="20500"/>
  </r>
  <r>
    <n v="1031"/>
    <d v="2024-03-28T00:00:00"/>
    <n v="2024"/>
    <n v="3"/>
    <x v="8"/>
    <s v="Q1"/>
    <s v="2024-03"/>
    <s v="Thursday"/>
    <x v="0"/>
    <x v="2"/>
    <x v="0"/>
    <x v="0"/>
    <n v="61000"/>
    <n v="1"/>
    <n v="61000"/>
  </r>
  <r>
    <n v="1032"/>
    <d v="2024-03-30T00:00:00"/>
    <n v="2024"/>
    <n v="3"/>
    <x v="8"/>
    <s v="Q1"/>
    <s v="2024-03"/>
    <s v="Saturday"/>
    <x v="1"/>
    <x v="3"/>
    <x v="1"/>
    <x v="0"/>
    <n v="25000"/>
    <n v="1"/>
    <n v="25000"/>
  </r>
  <r>
    <n v="1033"/>
    <d v="2024-01-04T00:00:00"/>
    <n v="2024"/>
    <n v="1"/>
    <x v="0"/>
    <s v="Q1"/>
    <s v="2024-01"/>
    <s v="Thursday"/>
    <x v="0"/>
    <x v="0"/>
    <x v="2"/>
    <x v="1"/>
    <n v="8200"/>
    <n v="2"/>
    <n v="16400"/>
  </r>
  <r>
    <n v="1034"/>
    <d v="2024-03-04T00:00:00"/>
    <n v="2024"/>
    <n v="3"/>
    <x v="8"/>
    <s v="Q1"/>
    <s v="2024-03"/>
    <s v="Monday"/>
    <x v="0"/>
    <x v="1"/>
    <x v="3"/>
    <x v="1"/>
    <n v="13500"/>
    <n v="1"/>
    <n v="13500"/>
  </r>
  <r>
    <n v="1035"/>
    <d v="2024-05-04T00:00:00"/>
    <n v="2024"/>
    <n v="5"/>
    <x v="1"/>
    <s v="Q2"/>
    <s v="2024-05"/>
    <s v="Saturday"/>
    <x v="1"/>
    <x v="2"/>
    <x v="4"/>
    <x v="2"/>
    <n v="14500"/>
    <n v="1"/>
    <n v="14500"/>
  </r>
  <r>
    <n v="1036"/>
    <d v="2024-07-04T00:00:00"/>
    <n v="2024"/>
    <n v="7"/>
    <x v="2"/>
    <s v="Q3"/>
    <s v="2024-07"/>
    <s v="Thursday"/>
    <x v="0"/>
    <x v="3"/>
    <x v="5"/>
    <x v="0"/>
    <n v="21500"/>
    <n v="1"/>
    <n v="21500"/>
  </r>
  <r>
    <n v="1037"/>
    <d v="2024-09-04T00:00:00"/>
    <n v="2024"/>
    <n v="9"/>
    <x v="9"/>
    <s v="Q3"/>
    <s v="2024-09"/>
    <s v="Wednesday"/>
    <x v="0"/>
    <x v="0"/>
    <x v="1"/>
    <x v="0"/>
    <n v="27000"/>
    <n v="1"/>
    <n v="27000"/>
  </r>
  <r>
    <n v="1038"/>
    <d v="2024-11-04T00:00:00"/>
    <n v="2024"/>
    <n v="11"/>
    <x v="10"/>
    <s v="Q4"/>
    <s v="2024-11"/>
    <s v="Monday"/>
    <x v="0"/>
    <x v="1"/>
    <x v="0"/>
    <x v="0"/>
    <n v="63000"/>
    <n v="1"/>
    <n v="63000"/>
  </r>
  <r>
    <n v="1039"/>
    <d v="2024-04-13T00:00:00"/>
    <n v="2024"/>
    <n v="4"/>
    <x v="7"/>
    <s v="Q2"/>
    <s v="2024-04"/>
    <s v="Saturday"/>
    <x v="1"/>
    <x v="2"/>
    <x v="2"/>
    <x v="1"/>
    <n v="8800"/>
    <n v="2"/>
    <n v="17600"/>
  </r>
  <r>
    <n v="1040"/>
    <d v="2024-04-15T00:00:00"/>
    <n v="2024"/>
    <n v="4"/>
    <x v="7"/>
    <s v="Q2"/>
    <s v="2024-04"/>
    <s v="Monday"/>
    <x v="0"/>
    <x v="3"/>
    <x v="3"/>
    <x v="1"/>
    <n v="14000"/>
    <n v="1"/>
    <n v="14000"/>
  </r>
  <r>
    <n v="1041"/>
    <d v="2024-04-17T00:00:00"/>
    <n v="2024"/>
    <n v="4"/>
    <x v="7"/>
    <s v="Q2"/>
    <s v="2024-04"/>
    <s v="Wednesday"/>
    <x v="0"/>
    <x v="0"/>
    <x v="4"/>
    <x v="2"/>
    <n v="16000"/>
    <n v="1"/>
    <n v="16000"/>
  </r>
  <r>
    <n v="1042"/>
    <d v="2024-04-19T00:00:00"/>
    <n v="2024"/>
    <n v="4"/>
    <x v="7"/>
    <s v="Q2"/>
    <s v="2024-04"/>
    <s v="Friday"/>
    <x v="0"/>
    <x v="1"/>
    <x v="5"/>
    <x v="0"/>
    <n v="20500"/>
    <n v="1"/>
    <n v="20500"/>
  </r>
  <r>
    <n v="1043"/>
    <d v="2024-04-21T00:00:00"/>
    <n v="2024"/>
    <n v="4"/>
    <x v="7"/>
    <s v="Q2"/>
    <s v="2024-04"/>
    <s v="Sunday"/>
    <x v="1"/>
    <x v="2"/>
    <x v="1"/>
    <x v="0"/>
    <n v="23500"/>
    <n v="1"/>
    <n v="23500"/>
  </r>
  <r>
    <n v="1044"/>
    <d v="2024-04-23T00:00:00"/>
    <n v="2024"/>
    <n v="4"/>
    <x v="7"/>
    <s v="Q2"/>
    <s v="2024-04"/>
    <s v="Tuesday"/>
    <x v="0"/>
    <x v="3"/>
    <x v="0"/>
    <x v="0"/>
    <n v="59000"/>
    <n v="1"/>
    <n v="59000"/>
  </r>
  <r>
    <n v="1045"/>
    <d v="2024-04-25T00:00:00"/>
    <n v="2024"/>
    <n v="4"/>
    <x v="7"/>
    <s v="Q2"/>
    <s v="2024-04"/>
    <s v="Thursday"/>
    <x v="0"/>
    <x v="0"/>
    <x v="2"/>
    <x v="1"/>
    <n v="9000"/>
    <n v="2"/>
    <n v="18000"/>
  </r>
  <r>
    <n v="1046"/>
    <d v="2024-04-27T00:00:00"/>
    <n v="2024"/>
    <n v="4"/>
    <x v="7"/>
    <s v="Q2"/>
    <s v="2024-04"/>
    <s v="Saturday"/>
    <x v="1"/>
    <x v="1"/>
    <x v="3"/>
    <x v="1"/>
    <n v="12500"/>
    <n v="1"/>
    <n v="12500"/>
  </r>
  <r>
    <n v="1047"/>
    <d v="2024-04-29T00:00:00"/>
    <n v="2024"/>
    <n v="4"/>
    <x v="7"/>
    <s v="Q2"/>
    <s v="2024-04"/>
    <s v="Monday"/>
    <x v="0"/>
    <x v="2"/>
    <x v="4"/>
    <x v="2"/>
    <n v="15500"/>
    <n v="1"/>
    <n v="15500"/>
  </r>
  <r>
    <n v="1048"/>
    <d v="2024-01-05T00:00:00"/>
    <n v="2024"/>
    <n v="1"/>
    <x v="0"/>
    <s v="Q1"/>
    <s v="2024-01"/>
    <s v="Friday"/>
    <x v="0"/>
    <x v="3"/>
    <x v="5"/>
    <x v="0"/>
    <n v="19800"/>
    <n v="1"/>
    <n v="19800"/>
  </r>
  <r>
    <n v="1049"/>
    <d v="2024-03-05T00:00:00"/>
    <n v="2024"/>
    <n v="3"/>
    <x v="8"/>
    <s v="Q1"/>
    <s v="2024-03"/>
    <s v="Tuesday"/>
    <x v="0"/>
    <x v="0"/>
    <x v="1"/>
    <x v="0"/>
    <n v="26500"/>
    <n v="1"/>
    <n v="26500"/>
  </r>
  <r>
    <n v="1050"/>
    <d v="2024-05-05T00:00:00"/>
    <n v="2024"/>
    <n v="5"/>
    <x v="1"/>
    <s v="Q2"/>
    <s v="2024-05"/>
    <s v="Sunday"/>
    <x v="1"/>
    <x v="1"/>
    <x v="0"/>
    <x v="0"/>
    <n v="64500"/>
    <n v="1"/>
    <n v="64500"/>
  </r>
  <r>
    <n v="1051"/>
    <d v="2024-07-05T00:00:00"/>
    <n v="2024"/>
    <n v="7"/>
    <x v="2"/>
    <s v="Q3"/>
    <s v="2024-07"/>
    <s v="Friday"/>
    <x v="0"/>
    <x v="2"/>
    <x v="2"/>
    <x v="1"/>
    <n v="8400"/>
    <n v="2"/>
    <n v="16800"/>
  </r>
  <r>
    <n v="1052"/>
    <d v="2024-09-05T00:00:00"/>
    <n v="2024"/>
    <n v="9"/>
    <x v="9"/>
    <s v="Q3"/>
    <s v="2024-09"/>
    <s v="Thursday"/>
    <x v="0"/>
    <x v="3"/>
    <x v="3"/>
    <x v="1"/>
    <n v="13200"/>
    <n v="1"/>
    <n v="13200"/>
  </r>
  <r>
    <n v="1053"/>
    <d v="2024-11-05T00:00:00"/>
    <n v="2024"/>
    <n v="11"/>
    <x v="10"/>
    <s v="Q4"/>
    <s v="2024-11"/>
    <s v="Tuesday"/>
    <x v="0"/>
    <x v="0"/>
    <x v="4"/>
    <x v="2"/>
    <n v="17000"/>
    <n v="1"/>
    <n v="17000"/>
  </r>
  <r>
    <n v="1054"/>
    <d v="2024-05-13T00:00:00"/>
    <n v="2024"/>
    <n v="5"/>
    <x v="1"/>
    <s v="Q2"/>
    <s v="2024-05"/>
    <s v="Monday"/>
    <x v="0"/>
    <x v="1"/>
    <x v="5"/>
    <x v="0"/>
    <n v="22500"/>
    <n v="1"/>
    <n v="22500"/>
  </r>
  <r>
    <n v="1055"/>
    <d v="2024-05-15T00:00:00"/>
    <n v="2024"/>
    <n v="5"/>
    <x v="1"/>
    <s v="Q2"/>
    <s v="2024-05"/>
    <s v="Wednesday"/>
    <x v="0"/>
    <x v="2"/>
    <x v="1"/>
    <x v="0"/>
    <n v="24000"/>
    <n v="1"/>
    <n v="24000"/>
  </r>
  <r>
    <n v="1056"/>
    <d v="2024-05-17T00:00:00"/>
    <n v="2024"/>
    <n v="5"/>
    <x v="1"/>
    <s v="Q2"/>
    <s v="2024-05"/>
    <s v="Friday"/>
    <x v="0"/>
    <x v="3"/>
    <x v="0"/>
    <x v="0"/>
    <n v="60000"/>
    <n v="1"/>
    <n v="60000"/>
  </r>
  <r>
    <n v="1057"/>
    <d v="2024-05-19T00:00:00"/>
    <n v="2024"/>
    <n v="5"/>
    <x v="1"/>
    <s v="Q2"/>
    <s v="2024-05"/>
    <s v="Sunday"/>
    <x v="1"/>
    <x v="0"/>
    <x v="2"/>
    <x v="1"/>
    <n v="9200"/>
    <n v="2"/>
    <n v="18400"/>
  </r>
  <r>
    <n v="1058"/>
    <d v="2024-05-21T00:00:00"/>
    <n v="2024"/>
    <n v="5"/>
    <x v="1"/>
    <s v="Q2"/>
    <s v="2024-05"/>
    <s v="Tuesday"/>
    <x v="0"/>
    <x v="1"/>
    <x v="3"/>
    <x v="1"/>
    <n v="13800"/>
    <n v="1"/>
    <n v="13800"/>
  </r>
  <r>
    <n v="1059"/>
    <d v="2024-05-23T00:00:00"/>
    <n v="2024"/>
    <n v="5"/>
    <x v="1"/>
    <s v="Q2"/>
    <s v="2024-05"/>
    <s v="Thursday"/>
    <x v="0"/>
    <x v="2"/>
    <x v="4"/>
    <x v="2"/>
    <n v="15800"/>
    <n v="1"/>
    <n v="15800"/>
  </r>
  <r>
    <n v="1060"/>
    <d v="2024-05-25T00:00:00"/>
    <n v="2024"/>
    <n v="5"/>
    <x v="1"/>
    <s v="Q2"/>
    <s v="2024-05"/>
    <s v="Saturday"/>
    <x v="1"/>
    <x v="3"/>
    <x v="5"/>
    <x v="0"/>
    <n v="21000"/>
    <n v="1"/>
    <n v="21000"/>
  </r>
  <r>
    <n v="1061"/>
    <d v="2024-05-27T00:00:00"/>
    <n v="2024"/>
    <n v="5"/>
    <x v="1"/>
    <s v="Q2"/>
    <s v="2024-05"/>
    <s v="Monday"/>
    <x v="0"/>
    <x v="0"/>
    <x v="1"/>
    <x v="0"/>
    <n v="27500"/>
    <n v="1"/>
    <n v="27500"/>
  </r>
  <r>
    <n v="1062"/>
    <d v="2024-05-29T00:00:00"/>
    <n v="2024"/>
    <n v="5"/>
    <x v="1"/>
    <s v="Q2"/>
    <s v="2024-05"/>
    <s v="Wednesday"/>
    <x v="0"/>
    <x v="1"/>
    <x v="0"/>
    <x v="0"/>
    <n v="65500"/>
    <n v="1"/>
    <n v="65500"/>
  </r>
  <r>
    <n v="1063"/>
    <d v="2024-05-31T00:00:00"/>
    <n v="2024"/>
    <n v="5"/>
    <x v="1"/>
    <s v="Q2"/>
    <s v="2024-05"/>
    <s v="Friday"/>
    <x v="0"/>
    <x v="2"/>
    <x v="2"/>
    <x v="1"/>
    <n v="8600"/>
    <n v="2"/>
    <n v="17200"/>
  </r>
  <r>
    <n v="1064"/>
    <d v="2024-02-06T00:00:00"/>
    <n v="2024"/>
    <n v="2"/>
    <x v="5"/>
    <s v="Q1"/>
    <s v="2024-02"/>
    <s v="Tuesday"/>
    <x v="0"/>
    <x v="3"/>
    <x v="3"/>
    <x v="1"/>
    <n v="14500"/>
    <n v="1"/>
    <n v="14500"/>
  </r>
  <r>
    <n v="1065"/>
    <d v="2024-04-06T00:00:00"/>
    <n v="2024"/>
    <n v="4"/>
    <x v="7"/>
    <s v="Q2"/>
    <s v="2024-04"/>
    <s v="Saturday"/>
    <x v="1"/>
    <x v="0"/>
    <x v="4"/>
    <x v="2"/>
    <n v="17500"/>
    <n v="1"/>
    <n v="17500"/>
  </r>
  <r>
    <n v="1066"/>
    <d v="2024-06-06T00:00:00"/>
    <n v="2024"/>
    <n v="6"/>
    <x v="11"/>
    <s v="Q2"/>
    <s v="2024-06"/>
    <s v="Thursday"/>
    <x v="0"/>
    <x v="1"/>
    <x v="5"/>
    <x v="0"/>
    <n v="23000"/>
    <n v="1"/>
    <n v="23000"/>
  </r>
  <r>
    <n v="1067"/>
    <d v="2024-08-06T00:00:00"/>
    <n v="2024"/>
    <n v="8"/>
    <x v="6"/>
    <s v="Q3"/>
    <s v="2024-08"/>
    <s v="Tuesday"/>
    <x v="0"/>
    <x v="2"/>
    <x v="1"/>
    <x v="0"/>
    <n v="24500"/>
    <n v="1"/>
    <n v="24500"/>
  </r>
  <r>
    <n v="1068"/>
    <d v="2024-10-06T00:00:00"/>
    <n v="2024"/>
    <n v="10"/>
    <x v="3"/>
    <s v="Q4"/>
    <s v="2024-10"/>
    <s v="Sunday"/>
    <x v="1"/>
    <x v="3"/>
    <x v="0"/>
    <x v="0"/>
    <n v="61000"/>
    <n v="1"/>
    <n v="61000"/>
  </r>
  <r>
    <n v="1069"/>
    <d v="2024-12-06T00:00:00"/>
    <n v="2024"/>
    <n v="12"/>
    <x v="4"/>
    <s v="Q4"/>
    <s v="2024-12"/>
    <s v="Friday"/>
    <x v="0"/>
    <x v="0"/>
    <x v="2"/>
    <x v="1"/>
    <n v="9400"/>
    <n v="2"/>
    <n v="18800"/>
  </r>
  <r>
    <n v="1070"/>
    <d v="2024-06-14T00:00:00"/>
    <n v="2024"/>
    <n v="6"/>
    <x v="11"/>
    <s v="Q2"/>
    <s v="2024-06"/>
    <s v="Friday"/>
    <x v="0"/>
    <x v="1"/>
    <x v="3"/>
    <x v="1"/>
    <n v="14200"/>
    <n v="1"/>
    <n v="14200"/>
  </r>
  <r>
    <n v="1071"/>
    <d v="2024-06-16T00:00:00"/>
    <n v="2024"/>
    <n v="6"/>
    <x v="11"/>
    <s v="Q2"/>
    <s v="2024-06"/>
    <s v="Sunday"/>
    <x v="1"/>
    <x v="2"/>
    <x v="4"/>
    <x v="2"/>
    <n v="16500"/>
    <n v="1"/>
    <n v="16500"/>
  </r>
  <r>
    <n v="1072"/>
    <d v="2024-06-18T00:00:00"/>
    <n v="2024"/>
    <n v="6"/>
    <x v="11"/>
    <s v="Q2"/>
    <s v="2024-06"/>
    <s v="Tuesday"/>
    <x v="0"/>
    <x v="3"/>
    <x v="5"/>
    <x v="0"/>
    <n v="22000"/>
    <n v="1"/>
    <n v="22000"/>
  </r>
  <r>
    <n v="1073"/>
    <d v="2024-06-20T00:00:00"/>
    <n v="2024"/>
    <n v="6"/>
    <x v="11"/>
    <s v="Q2"/>
    <s v="2024-06"/>
    <s v="Thursday"/>
    <x v="0"/>
    <x v="0"/>
    <x v="1"/>
    <x v="0"/>
    <n v="28000"/>
    <n v="1"/>
    <n v="28000"/>
  </r>
  <r>
    <n v="1074"/>
    <d v="2024-06-22T00:00:00"/>
    <n v="2024"/>
    <n v="6"/>
    <x v="11"/>
    <s v="Q2"/>
    <s v="2024-06"/>
    <s v="Saturday"/>
    <x v="1"/>
    <x v="1"/>
    <x v="0"/>
    <x v="0"/>
    <n v="67000"/>
    <n v="1"/>
    <n v="67000"/>
  </r>
  <r>
    <n v="1075"/>
    <d v="2024-06-24T00:00:00"/>
    <n v="2024"/>
    <n v="6"/>
    <x v="11"/>
    <s v="Q2"/>
    <s v="2024-06"/>
    <s v="Monday"/>
    <x v="0"/>
    <x v="2"/>
    <x v="2"/>
    <x v="1"/>
    <n v="8800"/>
    <n v="2"/>
    <n v="17600"/>
  </r>
  <r>
    <n v="1076"/>
    <d v="2024-06-26T00:00:00"/>
    <n v="2024"/>
    <n v="6"/>
    <x v="11"/>
    <s v="Q2"/>
    <s v="2024-06"/>
    <s v="Wednesday"/>
    <x v="0"/>
    <x v="3"/>
    <x v="3"/>
    <x v="1"/>
    <n v="15000"/>
    <n v="1"/>
    <n v="15000"/>
  </r>
  <r>
    <n v="1077"/>
    <d v="2024-06-28T00:00:00"/>
    <n v="2024"/>
    <n v="6"/>
    <x v="11"/>
    <s v="Q2"/>
    <s v="2024-06"/>
    <s v="Friday"/>
    <x v="0"/>
    <x v="0"/>
    <x v="4"/>
    <x v="2"/>
    <n v="18000"/>
    <n v="1"/>
    <n v="18000"/>
  </r>
  <r>
    <n v="1078"/>
    <d v="2024-06-30T00:00:00"/>
    <n v="2024"/>
    <n v="6"/>
    <x v="11"/>
    <s v="Q2"/>
    <s v="2024-06"/>
    <s v="Sunday"/>
    <x v="1"/>
    <x v="1"/>
    <x v="5"/>
    <x v="0"/>
    <n v="23500"/>
    <n v="1"/>
    <n v="23500"/>
  </r>
  <r>
    <n v="1079"/>
    <d v="2024-02-07T00:00:00"/>
    <n v="2024"/>
    <n v="2"/>
    <x v="5"/>
    <s v="Q1"/>
    <s v="2024-02"/>
    <s v="Wednesday"/>
    <x v="0"/>
    <x v="2"/>
    <x v="1"/>
    <x v="0"/>
    <n v="25000"/>
    <n v="1"/>
    <n v="25000"/>
  </r>
  <r>
    <n v="1080"/>
    <d v="2024-04-07T00:00:00"/>
    <n v="2024"/>
    <n v="4"/>
    <x v="7"/>
    <s v="Q2"/>
    <s v="2024-04"/>
    <s v="Sunday"/>
    <x v="1"/>
    <x v="3"/>
    <x v="0"/>
    <x v="0"/>
    <n v="62000"/>
    <n v="1"/>
    <n v="62000"/>
  </r>
  <r>
    <n v="1081"/>
    <d v="2024-06-07T00:00:00"/>
    <n v="2024"/>
    <n v="6"/>
    <x v="11"/>
    <s v="Q2"/>
    <s v="2024-06"/>
    <s v="Friday"/>
    <x v="0"/>
    <x v="0"/>
    <x v="2"/>
    <x v="1"/>
    <n v="9600"/>
    <n v="2"/>
    <n v="19200"/>
  </r>
  <r>
    <n v="1082"/>
    <d v="2024-08-07T00:00:00"/>
    <n v="2024"/>
    <n v="8"/>
    <x v="6"/>
    <s v="Q3"/>
    <s v="2024-08"/>
    <s v="Wednesday"/>
    <x v="0"/>
    <x v="1"/>
    <x v="3"/>
    <x v="1"/>
    <n v="14800"/>
    <n v="1"/>
    <n v="14800"/>
  </r>
  <r>
    <n v="1083"/>
    <d v="2024-10-07T00:00:00"/>
    <n v="2024"/>
    <n v="10"/>
    <x v="3"/>
    <s v="Q4"/>
    <s v="2024-10"/>
    <s v="Monday"/>
    <x v="0"/>
    <x v="2"/>
    <x v="4"/>
    <x v="2"/>
    <n v="16800"/>
    <n v="1"/>
    <n v="16800"/>
  </r>
  <r>
    <n v="1084"/>
    <d v="2024-12-07T00:00:00"/>
    <n v="2024"/>
    <n v="12"/>
    <x v="4"/>
    <s v="Q4"/>
    <s v="2024-12"/>
    <s v="Saturday"/>
    <x v="1"/>
    <x v="3"/>
    <x v="5"/>
    <x v="0"/>
    <n v="22500"/>
    <n v="1"/>
    <n v="22500"/>
  </r>
  <r>
    <n v="1085"/>
    <d v="2024-07-14T00:00:00"/>
    <n v="2024"/>
    <n v="7"/>
    <x v="2"/>
    <s v="Q3"/>
    <s v="2024-07"/>
    <s v="Sunday"/>
    <x v="1"/>
    <x v="0"/>
    <x v="1"/>
    <x v="0"/>
    <n v="28500"/>
    <n v="1"/>
    <n v="28500"/>
  </r>
  <r>
    <n v="1086"/>
    <d v="2024-07-16T00:00:00"/>
    <n v="2024"/>
    <n v="7"/>
    <x v="2"/>
    <s v="Q3"/>
    <s v="2024-07"/>
    <s v="Tuesday"/>
    <x v="0"/>
    <x v="1"/>
    <x v="0"/>
    <x v="0"/>
    <n v="68000"/>
    <n v="1"/>
    <n v="68000"/>
  </r>
  <r>
    <n v="1087"/>
    <d v="2024-07-18T00:00:00"/>
    <n v="2024"/>
    <n v="7"/>
    <x v="2"/>
    <s v="Q3"/>
    <s v="2024-07"/>
    <s v="Thursday"/>
    <x v="0"/>
    <x v="2"/>
    <x v="2"/>
    <x v="1"/>
    <n v="9000"/>
    <n v="2"/>
    <n v="18000"/>
  </r>
  <r>
    <n v="1088"/>
    <d v="2024-07-20T00:00:00"/>
    <n v="2024"/>
    <n v="7"/>
    <x v="2"/>
    <s v="Q3"/>
    <s v="2024-07"/>
    <s v="Saturday"/>
    <x v="1"/>
    <x v="3"/>
    <x v="3"/>
    <x v="1"/>
    <n v="15500"/>
    <n v="1"/>
    <n v="15500"/>
  </r>
  <r>
    <n v="1089"/>
    <d v="2024-07-22T00:00:00"/>
    <n v="2024"/>
    <n v="7"/>
    <x v="2"/>
    <s v="Q3"/>
    <s v="2024-07"/>
    <s v="Monday"/>
    <x v="0"/>
    <x v="0"/>
    <x v="4"/>
    <x v="2"/>
    <n v="18500"/>
    <n v="1"/>
    <n v="18500"/>
  </r>
  <r>
    <n v="1090"/>
    <d v="2024-07-24T00:00:00"/>
    <n v="2024"/>
    <n v="7"/>
    <x v="2"/>
    <s v="Q3"/>
    <s v="2024-07"/>
    <s v="Wednesday"/>
    <x v="0"/>
    <x v="1"/>
    <x v="5"/>
    <x v="0"/>
    <n v="24000"/>
    <n v="1"/>
    <n v="24000"/>
  </r>
  <r>
    <n v="1091"/>
    <d v="2024-07-26T00:00:00"/>
    <n v="2024"/>
    <n v="7"/>
    <x v="2"/>
    <s v="Q3"/>
    <s v="2024-07"/>
    <s v="Friday"/>
    <x v="0"/>
    <x v="2"/>
    <x v="1"/>
    <x v="0"/>
    <n v="25500"/>
    <n v="1"/>
    <n v="25500"/>
  </r>
  <r>
    <n v="1092"/>
    <d v="2024-07-28T00:00:00"/>
    <n v="2024"/>
    <n v="7"/>
    <x v="2"/>
    <s v="Q3"/>
    <s v="2024-07"/>
    <s v="Sunday"/>
    <x v="1"/>
    <x v="3"/>
    <x v="0"/>
    <x v="0"/>
    <n v="63000"/>
    <n v="1"/>
    <n v="63000"/>
  </r>
  <r>
    <n v="1093"/>
    <d v="2024-07-30T00:00:00"/>
    <n v="2024"/>
    <n v="7"/>
    <x v="2"/>
    <s v="Q3"/>
    <s v="2024-07"/>
    <s v="Tuesday"/>
    <x v="0"/>
    <x v="0"/>
    <x v="2"/>
    <x v="1"/>
    <n v="9800"/>
    <n v="2"/>
    <n v="19600"/>
  </r>
  <r>
    <n v="1094"/>
    <d v="2024-01-08T00:00:00"/>
    <n v="2024"/>
    <n v="1"/>
    <x v="0"/>
    <s v="Q1"/>
    <s v="2024-01"/>
    <s v="Monday"/>
    <x v="0"/>
    <x v="1"/>
    <x v="3"/>
    <x v="1"/>
    <n v="15200"/>
    <n v="1"/>
    <n v="15200"/>
  </r>
  <r>
    <n v="1095"/>
    <d v="2024-03-08T00:00:00"/>
    <n v="2024"/>
    <n v="3"/>
    <x v="8"/>
    <s v="Q1"/>
    <s v="2024-03"/>
    <s v="Friday"/>
    <x v="0"/>
    <x v="2"/>
    <x v="4"/>
    <x v="2"/>
    <n v="17200"/>
    <n v="1"/>
    <n v="17200"/>
  </r>
  <r>
    <n v="1096"/>
    <d v="2024-05-08T00:00:00"/>
    <n v="2024"/>
    <n v="5"/>
    <x v="1"/>
    <s v="Q2"/>
    <s v="2024-05"/>
    <s v="Wednesday"/>
    <x v="0"/>
    <x v="3"/>
    <x v="5"/>
    <x v="0"/>
    <n v="23000"/>
    <n v="1"/>
    <n v="23000"/>
  </r>
  <r>
    <n v="1097"/>
    <d v="2024-07-08T00:00:00"/>
    <n v="2024"/>
    <n v="7"/>
    <x v="2"/>
    <s v="Q3"/>
    <s v="2024-07"/>
    <s v="Monday"/>
    <x v="0"/>
    <x v="0"/>
    <x v="1"/>
    <x v="0"/>
    <n v="29000"/>
    <n v="1"/>
    <n v="29000"/>
  </r>
  <r>
    <n v="1098"/>
    <d v="2024-09-08T00:00:00"/>
    <n v="2024"/>
    <n v="9"/>
    <x v="9"/>
    <s v="Q3"/>
    <s v="2024-09"/>
    <s v="Sunday"/>
    <x v="1"/>
    <x v="1"/>
    <x v="0"/>
    <x v="0"/>
    <n v="69000"/>
    <n v="1"/>
    <n v="69000"/>
  </r>
  <r>
    <n v="1099"/>
    <d v="2024-11-08T00:00:00"/>
    <n v="2024"/>
    <n v="11"/>
    <x v="10"/>
    <s v="Q4"/>
    <s v="2024-11"/>
    <s v="Friday"/>
    <x v="0"/>
    <x v="2"/>
    <x v="2"/>
    <x v="1"/>
    <n v="9200"/>
    <n v="2"/>
    <n v="18400"/>
  </r>
  <r>
    <n v="1100"/>
    <d v="2024-08-13T00:00:00"/>
    <n v="2024"/>
    <n v="8"/>
    <x v="6"/>
    <s v="Q3"/>
    <s v="2024-08"/>
    <s v="Tuesday"/>
    <x v="0"/>
    <x v="3"/>
    <x v="3"/>
    <x v="1"/>
    <n v="15800"/>
    <n v="1"/>
    <n v="15800"/>
  </r>
  <r>
    <n v="1151"/>
    <d v="2024-08-15T00:00:00"/>
    <n v="2024"/>
    <n v="8"/>
    <x v="6"/>
    <s v="Q3"/>
    <s v="2024-08"/>
    <s v="Thursday"/>
    <x v="0"/>
    <x v="0"/>
    <x v="4"/>
    <x v="2"/>
    <n v="19000"/>
    <n v="1"/>
    <n v="19000"/>
  </r>
  <r>
    <n v="1152"/>
    <d v="2024-08-17T00:00:00"/>
    <n v="2024"/>
    <n v="8"/>
    <x v="6"/>
    <s v="Q3"/>
    <s v="2024-08"/>
    <s v="Saturday"/>
    <x v="1"/>
    <x v="1"/>
    <x v="5"/>
    <x v="0"/>
    <n v="24500"/>
    <n v="1"/>
    <n v="24500"/>
  </r>
  <r>
    <n v="1153"/>
    <d v="2024-08-19T00:00:00"/>
    <n v="2024"/>
    <n v="8"/>
    <x v="6"/>
    <s v="Q3"/>
    <s v="2024-08"/>
    <s v="Monday"/>
    <x v="0"/>
    <x v="2"/>
    <x v="1"/>
    <x v="0"/>
    <n v="26000"/>
    <n v="1"/>
    <n v="26000"/>
  </r>
  <r>
    <n v="1154"/>
    <d v="2024-08-21T00:00:00"/>
    <n v="2024"/>
    <n v="8"/>
    <x v="6"/>
    <s v="Q3"/>
    <s v="2024-08"/>
    <s v="Wednesday"/>
    <x v="0"/>
    <x v="3"/>
    <x v="0"/>
    <x v="0"/>
    <n v="64000"/>
    <n v="1"/>
    <n v="64000"/>
  </r>
  <r>
    <n v="1155"/>
    <d v="2024-08-23T00:00:00"/>
    <n v="2024"/>
    <n v="8"/>
    <x v="6"/>
    <s v="Q3"/>
    <s v="2024-08"/>
    <s v="Friday"/>
    <x v="0"/>
    <x v="0"/>
    <x v="2"/>
    <x v="1"/>
    <n v="10000"/>
    <n v="2"/>
    <n v="20000"/>
  </r>
  <r>
    <n v="1156"/>
    <d v="2024-08-25T00:00:00"/>
    <n v="2024"/>
    <n v="8"/>
    <x v="6"/>
    <s v="Q3"/>
    <s v="2024-08"/>
    <s v="Sunday"/>
    <x v="1"/>
    <x v="1"/>
    <x v="3"/>
    <x v="1"/>
    <n v="16000"/>
    <n v="1"/>
    <n v="16000"/>
  </r>
  <r>
    <n v="1157"/>
    <d v="2024-08-27T00:00:00"/>
    <n v="2024"/>
    <n v="8"/>
    <x v="6"/>
    <s v="Q3"/>
    <s v="2024-08"/>
    <s v="Tuesday"/>
    <x v="0"/>
    <x v="2"/>
    <x v="4"/>
    <x v="2"/>
    <n v="17500"/>
    <n v="1"/>
    <n v="17500"/>
  </r>
  <r>
    <n v="1158"/>
    <d v="2024-08-29T00:00:00"/>
    <n v="2024"/>
    <n v="8"/>
    <x v="6"/>
    <s v="Q3"/>
    <s v="2024-08"/>
    <s v="Thursday"/>
    <x v="0"/>
    <x v="3"/>
    <x v="5"/>
    <x v="0"/>
    <n v="23500"/>
    <n v="1"/>
    <n v="23500"/>
  </r>
  <r>
    <n v="1159"/>
    <d v="2024-08-31T00:00:00"/>
    <n v="2024"/>
    <n v="8"/>
    <x v="6"/>
    <s v="Q3"/>
    <s v="2024-08"/>
    <s v="Saturday"/>
    <x v="1"/>
    <x v="0"/>
    <x v="1"/>
    <x v="0"/>
    <n v="29500"/>
    <n v="1"/>
    <n v="29500"/>
  </r>
  <r>
    <n v="1160"/>
    <d v="2024-02-09T00:00:00"/>
    <n v="2024"/>
    <n v="2"/>
    <x v="5"/>
    <s v="Q1"/>
    <s v="2024-02"/>
    <s v="Friday"/>
    <x v="0"/>
    <x v="1"/>
    <x v="0"/>
    <x v="0"/>
    <n v="70000"/>
    <n v="1"/>
    <n v="7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19825-3DF9-457E-8DEE-63D6E7FAC284}" name="PivotTable1" cacheId="40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5">
    <pivotField compact="0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13">
        <item x="0"/>
        <item x="5"/>
        <item x="8"/>
        <item x="7"/>
        <item x="1"/>
        <item x="11"/>
        <item x="2"/>
        <item x="6"/>
        <item x="9"/>
        <item x="3"/>
        <item x="1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1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1C2D8-7DF3-4F69-86E3-DF0B3895F0AC}" name="PivotTable2" cacheId="40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5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69931-C46E-4EEA-BD1F-A68D277F6FC0}" name="PivotTable3" cacheId="40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15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E8FAC-4E9C-446A-A53F-0030B97C1B96}" name="PivotTable4" cacheId="40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5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2"/>
        <item x="3"/>
        <item x="0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7">
    <i>
      <x v="2"/>
    </i>
    <i>
      <x v="3"/>
    </i>
    <i>
      <x v="4"/>
    </i>
    <i>
      <x/>
    </i>
    <i>
      <x v="5"/>
    </i>
    <i>
      <x v="1"/>
    </i>
    <i t="grand">
      <x/>
    </i>
  </rowItems>
  <colItems count="1">
    <i/>
  </colItems>
  <dataFields count="1">
    <dataField name="Sum of Total_Amount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CF803-F247-444D-9DDA-6893433AE0F2}" name="PivotTable5" cacheId="40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5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_Amount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4A1E08A-35AB-4855-9F90-B67A2C336F9B}" sourceName="Region">
  <pivotTables>
    <pivotTable tabId="3" name="PivotTable2"/>
  </pivotTables>
  <data>
    <tabular pivotCacheId="1894459135">
      <items count="4">
        <i x="0" s="1"/>
        <i x="3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2C536AF-A426-4359-89CC-390DF502F6CB}" sourceName="Category">
  <pivotTables>
    <pivotTable tabId="3" name="PivotTable2"/>
  </pivotTables>
  <data>
    <tabular pivotCacheId="189445913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2D967A3-A72D-4E12-9840-6EC12668A243}" cache="Slicer_Region" caption="Region" rowHeight="228600"/>
  <slicer name="Category" xr10:uid="{465AF9DD-BFE0-4DB9-9947-285B912CB43A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19B16-DEBE-4144-99ED-957101EE3940}" name="Table1" displayName="Table1" ref="A1:O111" totalsRowShown="0" headerRowDxfId="16" dataDxfId="15">
  <autoFilter ref="A1:O111" xr:uid="{7F419B16-DEBE-4144-99ED-957101EE3940}"/>
  <tableColumns count="15">
    <tableColumn id="1" xr3:uid="{4BD6A6E9-6047-4AAD-82E5-53FA36315952}" name="Order_ID" dataDxfId="14"/>
    <tableColumn id="2" xr3:uid="{5EBFC6AF-0E5B-4696-B211-6EC47B0163BB}" name="Order_Date" dataDxfId="13"/>
    <tableColumn id="8" xr3:uid="{1DCD7BBF-48D1-4914-9E77-8C2805FE26DB}" name="Year" dataDxfId="12">
      <calculatedColumnFormula>YEAR(B2)</calculatedColumnFormula>
    </tableColumn>
    <tableColumn id="9" xr3:uid="{4574296C-70D6-4E53-B017-68D11DF01792}" name="Month_Number" dataDxfId="11">
      <calculatedColumnFormula>MONTH(B2)</calculatedColumnFormula>
    </tableColumn>
    <tableColumn id="10" xr3:uid="{AE46F21B-0132-4D7E-876E-9D2BA11F90F1}" name="Month_Name" dataDxfId="10">
      <calculatedColumnFormula>TEXT(B2,"mmmm")</calculatedColumnFormula>
    </tableColumn>
    <tableColumn id="11" xr3:uid="{B2213C1B-122E-41ED-B8D9-C8E9E092BC69}" name="Quarter" dataDxfId="9">
      <calculatedColumnFormula>"Q"&amp;ROUNDUP(MONTH(B2)/3,0)</calculatedColumnFormula>
    </tableColumn>
    <tableColumn id="12" xr3:uid="{BCBF5EDB-064E-4441-B3E3-76823F0CF740}" name="Year_Month" dataDxfId="8">
      <calculatedColumnFormula>TEXT(B2,"yyyy-mm")</calculatedColumnFormula>
    </tableColumn>
    <tableColumn id="13" xr3:uid="{B13907AE-F278-4EAF-A362-8FB8AD8EC843}" name="Day_Name" dataDxfId="7">
      <calculatedColumnFormula>TEXT(B2,"dddd")</calculatedColumnFormula>
    </tableColumn>
    <tableColumn id="14" xr3:uid="{3D43C780-3241-4669-8B95-518129E1329B}" name="Day_Type" dataDxfId="6">
      <calculatedColumnFormula>IF(OR(H2="Saturday",H2="Sunday"),"Weekend","Weekday")</calculatedColumnFormula>
    </tableColumn>
    <tableColumn id="3" xr3:uid="{8081B2B7-0FB6-409C-8FC8-94D793FE9BA9}" name="Region" dataDxfId="5"/>
    <tableColumn id="4" xr3:uid="{7BF01D0D-DF8E-4DB2-BC09-64EA11BD6AA3}" name="Product" dataDxfId="4"/>
    <tableColumn id="5" xr3:uid="{4F20CC40-1BF7-4BE0-869C-5D5471DD429D}" name="Category" dataDxfId="3"/>
    <tableColumn id="6" xr3:uid="{B327D981-A00D-49F5-9946-30E2CACF823E}" name="Sales" dataDxfId="2"/>
    <tableColumn id="7" xr3:uid="{C8F6AC40-9DA6-494A-93E1-3D8CA42649DA}" name="Quantity" dataDxfId="1"/>
    <tableColumn id="16" xr3:uid="{2A96CED6-1926-48EE-82D7-6DE858CD9B67}" name="Total_Amount" dataDxfId="0">
      <calculatedColumnFormula xml:space="preserve"> M2*N2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D950-8894-4AC7-A841-FC692778D634}">
  <dimension ref="A3:B16"/>
  <sheetViews>
    <sheetView workbookViewId="0">
      <selection activeCell="A5" sqref="A5"/>
    </sheetView>
  </sheetViews>
  <sheetFormatPr defaultRowHeight="15"/>
  <cols>
    <col min="1" max="1" width="16" bestFit="1" customWidth="1"/>
    <col min="2" max="3" width="20.140625" bestFit="1" customWidth="1"/>
  </cols>
  <sheetData>
    <row r="3" spans="1:2">
      <c r="A3" s="11" t="s">
        <v>0</v>
      </c>
      <c r="B3" t="s">
        <v>1</v>
      </c>
    </row>
    <row r="4" spans="1:2">
      <c r="A4" t="s">
        <v>2</v>
      </c>
      <c r="B4">
        <v>235400</v>
      </c>
    </row>
    <row r="5" spans="1:2">
      <c r="A5" t="s">
        <v>3</v>
      </c>
      <c r="B5">
        <v>258500</v>
      </c>
    </row>
    <row r="6" spans="1:2">
      <c r="A6" t="s">
        <v>4</v>
      </c>
      <c r="B6">
        <v>268100</v>
      </c>
    </row>
    <row r="7" spans="1:2">
      <c r="A7" t="s">
        <v>5</v>
      </c>
      <c r="B7">
        <v>338100</v>
      </c>
    </row>
    <row r="8" spans="1:2">
      <c r="A8" t="s">
        <v>6</v>
      </c>
      <c r="B8">
        <v>445700</v>
      </c>
    </row>
    <row r="9" spans="1:2">
      <c r="A9" t="s">
        <v>7</v>
      </c>
      <c r="B9">
        <v>264000</v>
      </c>
    </row>
    <row r="10" spans="1:2">
      <c r="A10" t="s">
        <v>8</v>
      </c>
      <c r="B10">
        <v>375400</v>
      </c>
    </row>
    <row r="11" spans="1:2">
      <c r="A11" t="s">
        <v>9</v>
      </c>
      <c r="B11">
        <v>321100</v>
      </c>
    </row>
    <row r="12" spans="1:2">
      <c r="A12" t="s">
        <v>10</v>
      </c>
      <c r="B12">
        <v>109200</v>
      </c>
    </row>
    <row r="13" spans="1:2">
      <c r="A13" t="s">
        <v>11</v>
      </c>
      <c r="B13">
        <v>127300</v>
      </c>
    </row>
    <row r="14" spans="1:2">
      <c r="A14" t="s">
        <v>12</v>
      </c>
      <c r="B14">
        <v>98400</v>
      </c>
    </row>
    <row r="15" spans="1:2">
      <c r="A15" t="s">
        <v>13</v>
      </c>
      <c r="B15">
        <v>97300</v>
      </c>
    </row>
    <row r="16" spans="1:2">
      <c r="A16" t="s">
        <v>14</v>
      </c>
      <c r="B16">
        <v>2938500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221F-46A8-4DB7-96F9-8EC7082BA063}">
  <dimension ref="A3:B8"/>
  <sheetViews>
    <sheetView workbookViewId="0">
      <selection activeCell="C12" sqref="C12"/>
    </sheetView>
  </sheetViews>
  <sheetFormatPr defaultRowHeight="15"/>
  <cols>
    <col min="1" max="1" width="11.42578125" bestFit="1" customWidth="1"/>
    <col min="2" max="2" width="10.85546875" bestFit="1" customWidth="1"/>
  </cols>
  <sheetData>
    <row r="3" spans="1:2">
      <c r="A3" s="11" t="s">
        <v>15</v>
      </c>
      <c r="B3" t="s">
        <v>16</v>
      </c>
    </row>
    <row r="4" spans="1:2">
      <c r="A4" t="s">
        <v>17</v>
      </c>
      <c r="B4">
        <v>614900</v>
      </c>
    </row>
    <row r="5" spans="1:2">
      <c r="A5" t="s">
        <v>18</v>
      </c>
      <c r="B5">
        <v>838800</v>
      </c>
    </row>
    <row r="6" spans="1:2">
      <c r="A6" t="s">
        <v>19</v>
      </c>
      <c r="B6">
        <v>544900</v>
      </c>
    </row>
    <row r="7" spans="1:2">
      <c r="A7" t="s">
        <v>20</v>
      </c>
      <c r="B7">
        <v>939900</v>
      </c>
    </row>
    <row r="8" spans="1:2">
      <c r="A8" t="s">
        <v>14</v>
      </c>
      <c r="B8">
        <v>2938500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44C0-5DE1-49B9-BB45-4A7FDE9220F1}">
  <dimension ref="B1:J25"/>
  <sheetViews>
    <sheetView showGridLines="0" topLeftCell="A15" workbookViewId="0">
      <selection activeCell="A23" sqref="A23"/>
    </sheetView>
  </sheetViews>
  <sheetFormatPr defaultRowHeight="15"/>
  <cols>
    <col min="1" max="12" width="15.7109375" customWidth="1"/>
  </cols>
  <sheetData>
    <row r="1" spans="2:10" ht="24.75" customHeight="1">
      <c r="B1" s="24" t="s">
        <v>16</v>
      </c>
      <c r="C1" s="18"/>
      <c r="D1" s="14"/>
      <c r="E1" s="23" t="s">
        <v>21</v>
      </c>
      <c r="F1" s="21"/>
      <c r="G1" s="12"/>
      <c r="H1" s="22" t="s">
        <v>22</v>
      </c>
      <c r="I1" s="17"/>
      <c r="J1" s="12"/>
    </row>
    <row r="2" spans="2:10" ht="24.75" customHeight="1">
      <c r="B2" s="19">
        <v>2072.8000000000002</v>
      </c>
      <c r="C2" s="19"/>
      <c r="D2" s="13"/>
      <c r="E2" s="15" t="s">
        <v>20</v>
      </c>
      <c r="F2" s="15"/>
      <c r="G2" s="12"/>
      <c r="H2" s="15" t="s">
        <v>6</v>
      </c>
      <c r="I2" s="15"/>
      <c r="J2" s="12"/>
    </row>
    <row r="3" spans="2:10" ht="24.75" customHeight="1">
      <c r="B3" s="20"/>
      <c r="C3" s="20"/>
      <c r="D3" s="13"/>
      <c r="E3" s="16"/>
      <c r="F3" s="16"/>
      <c r="G3" s="12"/>
      <c r="H3" s="16"/>
      <c r="I3" s="16"/>
      <c r="J3" s="12"/>
    </row>
    <row r="4" spans="2:10" ht="24.75" customHeight="1"/>
    <row r="5" spans="2:10" ht="24.75" customHeight="1"/>
    <row r="6" spans="2:10" ht="24.75" customHeight="1"/>
    <row r="7" spans="2:10" ht="24.75" customHeight="1"/>
    <row r="8" spans="2:10" ht="24.75" customHeight="1"/>
    <row r="9" spans="2:10" ht="24.75" customHeight="1"/>
    <row r="10" spans="2:10" ht="24.75" customHeight="1"/>
    <row r="11" spans="2:10" ht="24.75" customHeight="1"/>
    <row r="12" spans="2:10" ht="24.75" customHeight="1"/>
    <row r="13" spans="2:10" ht="24.75" customHeight="1"/>
    <row r="14" spans="2:10" ht="24.75" customHeight="1"/>
    <row r="15" spans="2:10" ht="24.75" customHeight="1"/>
    <row r="16" spans="2:10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</sheetData>
  <mergeCells count="6">
    <mergeCell ref="E2:F3"/>
    <mergeCell ref="H1:I1"/>
    <mergeCell ref="H2:I3"/>
    <mergeCell ref="B1:C1"/>
    <mergeCell ref="B2:C3"/>
    <mergeCell ref="E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A9BB-1EAA-44F1-BBAF-315BF3B85D7D}">
  <dimension ref="A3:B7"/>
  <sheetViews>
    <sheetView tabSelected="1" workbookViewId="0">
      <selection activeCell="O13" sqref="O13"/>
    </sheetView>
  </sheetViews>
  <sheetFormatPr defaultRowHeight="15"/>
  <cols>
    <col min="1" max="1" width="14.28515625" bestFit="1" customWidth="1"/>
    <col min="2" max="2" width="20.140625" bestFit="1" customWidth="1"/>
  </cols>
  <sheetData>
    <row r="3" spans="1:2">
      <c r="A3" s="11" t="s">
        <v>23</v>
      </c>
      <c r="B3" t="s">
        <v>1</v>
      </c>
    </row>
    <row r="4" spans="1:2">
      <c r="A4" t="s">
        <v>24</v>
      </c>
      <c r="B4">
        <v>2072800</v>
      </c>
    </row>
    <row r="5" spans="1:2">
      <c r="A5" t="s">
        <v>25</v>
      </c>
      <c r="B5">
        <v>568900</v>
      </c>
    </row>
    <row r="6" spans="1:2">
      <c r="A6" t="s">
        <v>26</v>
      </c>
      <c r="B6">
        <v>296800</v>
      </c>
    </row>
    <row r="7" spans="1:2">
      <c r="A7" t="s">
        <v>14</v>
      </c>
      <c r="B7">
        <v>2938500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F360-2C7D-47B4-B57C-0B4BE74541A4}">
  <dimension ref="A3:B10"/>
  <sheetViews>
    <sheetView workbookViewId="0">
      <selection activeCell="B5" sqref="B5"/>
    </sheetView>
  </sheetViews>
  <sheetFormatPr defaultRowHeight="15"/>
  <cols>
    <col min="1" max="1" width="11.42578125" bestFit="1" customWidth="1"/>
    <col min="2" max="2" width="20.140625" bestFit="1" customWidth="1"/>
  </cols>
  <sheetData>
    <row r="3" spans="1:2">
      <c r="A3" s="11" t="s">
        <v>27</v>
      </c>
      <c r="B3" t="s">
        <v>1</v>
      </c>
    </row>
    <row r="4" spans="1:2">
      <c r="A4" t="s">
        <v>28</v>
      </c>
      <c r="B4">
        <v>1191000</v>
      </c>
    </row>
    <row r="5" spans="1:2">
      <c r="A5" t="s">
        <v>29</v>
      </c>
      <c r="B5">
        <v>491500</v>
      </c>
    </row>
    <row r="6" spans="1:2">
      <c r="A6" t="s">
        <v>30</v>
      </c>
      <c r="B6">
        <v>390300</v>
      </c>
    </row>
    <row r="7" spans="1:2">
      <c r="A7" t="s">
        <v>31</v>
      </c>
      <c r="B7">
        <v>318400</v>
      </c>
    </row>
    <row r="8" spans="1:2">
      <c r="A8" t="s">
        <v>32</v>
      </c>
      <c r="B8">
        <v>296800</v>
      </c>
    </row>
    <row r="9" spans="1:2">
      <c r="A9" t="s">
        <v>33</v>
      </c>
      <c r="B9">
        <v>250500</v>
      </c>
    </row>
    <row r="10" spans="1:2">
      <c r="A10" t="s">
        <v>14</v>
      </c>
      <c r="B10">
        <v>2938500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CC91-527A-443E-A873-9998128A20DA}">
  <dimension ref="A3:B6"/>
  <sheetViews>
    <sheetView workbookViewId="0">
      <selection activeCell="A3" sqref="A3"/>
    </sheetView>
  </sheetViews>
  <sheetFormatPr defaultRowHeight="15"/>
  <cols>
    <col min="1" max="1" width="12.7109375" bestFit="1" customWidth="1"/>
    <col min="2" max="2" width="20.140625" bestFit="1" customWidth="1"/>
  </cols>
  <sheetData>
    <row r="3" spans="1:2">
      <c r="A3" s="11" t="s">
        <v>34</v>
      </c>
      <c r="B3" t="s">
        <v>1</v>
      </c>
    </row>
    <row r="4" spans="1:2">
      <c r="A4" t="s">
        <v>35</v>
      </c>
      <c r="B4">
        <v>2145000</v>
      </c>
    </row>
    <row r="5" spans="1:2">
      <c r="A5" t="s">
        <v>36</v>
      </c>
      <c r="B5">
        <v>793500</v>
      </c>
    </row>
    <row r="6" spans="1:2">
      <c r="A6" t="s">
        <v>14</v>
      </c>
      <c r="B6">
        <v>2938500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workbookViewId="0">
      <selection activeCell="C11" sqref="C11"/>
    </sheetView>
  </sheetViews>
  <sheetFormatPr defaultRowHeight="15"/>
  <cols>
    <col min="1" max="1" width="11.28515625" bestFit="1" customWidth="1"/>
    <col min="2" max="2" width="13.7109375" style="1" bestFit="1" customWidth="1"/>
    <col min="3" max="9" width="13.7109375" customWidth="1"/>
    <col min="10" max="10" width="9.42578125" bestFit="1" customWidth="1"/>
    <col min="11" max="11" width="10.42578125" bestFit="1" customWidth="1"/>
    <col min="12" max="12" width="14.28515625" bestFit="1" customWidth="1"/>
    <col min="14" max="14" width="11" bestFit="1" customWidth="1"/>
    <col min="15" max="16" width="11" customWidth="1"/>
  </cols>
  <sheetData>
    <row r="1" spans="1:17" ht="29.25">
      <c r="A1" s="4" t="s">
        <v>37</v>
      </c>
      <c r="B1" s="7" t="s">
        <v>38</v>
      </c>
      <c r="C1" s="9" t="s">
        <v>39</v>
      </c>
      <c r="D1" s="9" t="s">
        <v>40</v>
      </c>
      <c r="E1" s="9" t="s">
        <v>0</v>
      </c>
      <c r="F1" s="9" t="s">
        <v>41</v>
      </c>
      <c r="G1" s="9" t="s">
        <v>42</v>
      </c>
      <c r="H1" s="9" t="s">
        <v>43</v>
      </c>
      <c r="I1" s="9" t="s">
        <v>34</v>
      </c>
      <c r="J1" s="2" t="s">
        <v>15</v>
      </c>
      <c r="K1" s="2" t="s">
        <v>27</v>
      </c>
      <c r="L1" s="2" t="s">
        <v>23</v>
      </c>
      <c r="M1" s="2" t="s">
        <v>44</v>
      </c>
      <c r="N1" s="2" t="s">
        <v>45</v>
      </c>
      <c r="O1" s="2" t="s">
        <v>46</v>
      </c>
      <c r="P1" s="2"/>
      <c r="Q1" s="5"/>
    </row>
    <row r="2" spans="1:17">
      <c r="A2">
        <v>1001</v>
      </c>
      <c r="B2" s="8">
        <v>45292</v>
      </c>
      <c r="C2" s="10">
        <f>YEAR(B2)</f>
        <v>2024</v>
      </c>
      <c r="D2" s="10">
        <f t="shared" ref="D2:D33" si="0">MONTH(B2)</f>
        <v>1</v>
      </c>
      <c r="E2" s="10" t="str">
        <f t="shared" ref="E2:E33" si="1">TEXT(B2,"mmmm")</f>
        <v>January</v>
      </c>
      <c r="F2" s="10" t="str">
        <f t="shared" ref="F2:F33" si="2">"Q"&amp;ROUNDUP(MONTH(B2)/3,0)</f>
        <v>Q1</v>
      </c>
      <c r="G2" s="10" t="str">
        <f t="shared" ref="G2:G33" si="3">TEXT(B2,"yyyy-mm")</f>
        <v>2024-01</v>
      </c>
      <c r="H2" s="10" t="str">
        <f t="shared" ref="H2:H33" si="4">TEXT(B2,"dddd")</f>
        <v>Monday</v>
      </c>
      <c r="I2" s="10" t="str">
        <f t="shared" ref="I2:I33" si="5">IF(OR(H2="Saturday",H2="Sunday"),"Weekend","Weekday")</f>
        <v>Weekday</v>
      </c>
      <c r="J2" t="s">
        <v>17</v>
      </c>
      <c r="K2" t="s">
        <v>28</v>
      </c>
      <c r="L2" t="s">
        <v>24</v>
      </c>
      <c r="M2">
        <v>55000</v>
      </c>
      <c r="N2">
        <v>1</v>
      </c>
      <c r="O2">
        <f t="shared" ref="O2:O33" si="6" xml:space="preserve"> M2*N2</f>
        <v>55000</v>
      </c>
      <c r="Q2" s="6"/>
    </row>
    <row r="3" spans="1:17">
      <c r="A3">
        <v>1002</v>
      </c>
      <c r="B3" s="8">
        <v>45427</v>
      </c>
      <c r="C3" s="10">
        <f t="shared" ref="C3:C33" si="7">YEAR(B3)</f>
        <v>2024</v>
      </c>
      <c r="D3" s="10">
        <f t="shared" si="0"/>
        <v>5</v>
      </c>
      <c r="E3" s="10" t="str">
        <f t="shared" si="1"/>
        <v>May</v>
      </c>
      <c r="F3" s="10" t="str">
        <f t="shared" si="2"/>
        <v>Q2</v>
      </c>
      <c r="G3" s="10" t="str">
        <f t="shared" si="3"/>
        <v>2024-05</v>
      </c>
      <c r="H3" s="10" t="str">
        <f t="shared" si="4"/>
        <v>Wednesday</v>
      </c>
      <c r="I3" s="10" t="str">
        <f t="shared" si="5"/>
        <v>Weekday</v>
      </c>
      <c r="J3" t="s">
        <v>20</v>
      </c>
      <c r="K3" t="s">
        <v>29</v>
      </c>
      <c r="L3" t="s">
        <v>24</v>
      </c>
      <c r="M3">
        <v>22000</v>
      </c>
      <c r="N3">
        <v>1</v>
      </c>
      <c r="O3">
        <f t="shared" si="6"/>
        <v>22000</v>
      </c>
    </row>
    <row r="4" spans="1:17">
      <c r="A4">
        <v>1003</v>
      </c>
      <c r="B4" s="8">
        <v>45413</v>
      </c>
      <c r="C4" s="10">
        <f t="shared" si="7"/>
        <v>2024</v>
      </c>
      <c r="D4" s="10">
        <f t="shared" si="0"/>
        <v>5</v>
      </c>
      <c r="E4" s="10" t="str">
        <f t="shared" si="1"/>
        <v>May</v>
      </c>
      <c r="F4" s="10" t="str">
        <f t="shared" si="2"/>
        <v>Q2</v>
      </c>
      <c r="G4" s="10" t="str">
        <f t="shared" si="3"/>
        <v>2024-05</v>
      </c>
      <c r="H4" s="10" t="str">
        <f t="shared" si="4"/>
        <v>Wednesday</v>
      </c>
      <c r="I4" s="10" t="str">
        <f t="shared" si="5"/>
        <v>Weekday</v>
      </c>
      <c r="J4" t="s">
        <v>19</v>
      </c>
      <c r="K4" t="s">
        <v>31</v>
      </c>
      <c r="L4" t="s">
        <v>25</v>
      </c>
      <c r="M4">
        <v>8000</v>
      </c>
      <c r="N4">
        <v>2</v>
      </c>
      <c r="O4">
        <f t="shared" si="6"/>
        <v>16000</v>
      </c>
    </row>
    <row r="5" spans="1:17">
      <c r="A5">
        <v>1004</v>
      </c>
      <c r="B5" s="8">
        <v>45474</v>
      </c>
      <c r="C5" s="10">
        <f t="shared" si="7"/>
        <v>2024</v>
      </c>
      <c r="D5" s="10">
        <f t="shared" si="0"/>
        <v>7</v>
      </c>
      <c r="E5" s="10" t="str">
        <f t="shared" si="1"/>
        <v>July</v>
      </c>
      <c r="F5" s="10" t="str">
        <f t="shared" si="2"/>
        <v>Q3</v>
      </c>
      <c r="G5" s="10" t="str">
        <f t="shared" si="3"/>
        <v>2024-07</v>
      </c>
      <c r="H5" s="10" t="str">
        <f t="shared" si="4"/>
        <v>Monday</v>
      </c>
      <c r="I5" s="10" t="str">
        <f t="shared" si="5"/>
        <v>Weekday</v>
      </c>
      <c r="J5" t="s">
        <v>18</v>
      </c>
      <c r="K5" t="s">
        <v>33</v>
      </c>
      <c r="L5" t="s">
        <v>25</v>
      </c>
      <c r="M5">
        <v>12000</v>
      </c>
      <c r="N5">
        <v>1</v>
      </c>
      <c r="O5">
        <f t="shared" si="6"/>
        <v>12000</v>
      </c>
    </row>
    <row r="6" spans="1:17">
      <c r="A6">
        <v>1005</v>
      </c>
      <c r="B6" s="8">
        <v>45566</v>
      </c>
      <c r="C6" s="10">
        <f t="shared" si="7"/>
        <v>2024</v>
      </c>
      <c r="D6" s="10">
        <f t="shared" si="0"/>
        <v>10</v>
      </c>
      <c r="E6" s="10" t="str">
        <f t="shared" si="1"/>
        <v>October</v>
      </c>
      <c r="F6" s="10" t="str">
        <f t="shared" si="2"/>
        <v>Q4</v>
      </c>
      <c r="G6" s="10" t="str">
        <f t="shared" si="3"/>
        <v>2024-10</v>
      </c>
      <c r="H6" s="10" t="str">
        <f t="shared" si="4"/>
        <v>Tuesday</v>
      </c>
      <c r="I6" s="10" t="str">
        <f t="shared" si="5"/>
        <v>Weekday</v>
      </c>
      <c r="J6" t="s">
        <v>17</v>
      </c>
      <c r="K6" t="s">
        <v>32</v>
      </c>
      <c r="L6" t="s">
        <v>26</v>
      </c>
      <c r="M6">
        <v>15000</v>
      </c>
      <c r="N6">
        <v>1</v>
      </c>
      <c r="O6">
        <f t="shared" si="6"/>
        <v>15000</v>
      </c>
    </row>
    <row r="7" spans="1:17">
      <c r="A7">
        <v>1006</v>
      </c>
      <c r="B7" s="8">
        <v>45627</v>
      </c>
      <c r="C7" s="10">
        <f t="shared" si="7"/>
        <v>2024</v>
      </c>
      <c r="D7" s="10">
        <f t="shared" si="0"/>
        <v>12</v>
      </c>
      <c r="E7" s="10" t="str">
        <f t="shared" si="1"/>
        <v>December</v>
      </c>
      <c r="F7" s="10" t="str">
        <f t="shared" si="2"/>
        <v>Q4</v>
      </c>
      <c r="G7" s="10" t="str">
        <f t="shared" si="3"/>
        <v>2024-12</v>
      </c>
      <c r="H7" s="10" t="str">
        <f t="shared" si="4"/>
        <v>Sunday</v>
      </c>
      <c r="I7" s="10" t="str">
        <f t="shared" si="5"/>
        <v>Weekend</v>
      </c>
      <c r="J7" t="s">
        <v>20</v>
      </c>
      <c r="K7" t="s">
        <v>30</v>
      </c>
      <c r="L7" t="s">
        <v>24</v>
      </c>
      <c r="M7">
        <v>18000</v>
      </c>
      <c r="N7">
        <v>1</v>
      </c>
      <c r="O7">
        <f t="shared" si="6"/>
        <v>18000</v>
      </c>
    </row>
    <row r="8" spans="1:17">
      <c r="A8">
        <v>1007</v>
      </c>
      <c r="B8" s="8">
        <v>45306</v>
      </c>
      <c r="C8" s="10">
        <f t="shared" si="7"/>
        <v>2024</v>
      </c>
      <c r="D8" s="10">
        <f t="shared" si="0"/>
        <v>1</v>
      </c>
      <c r="E8" s="10" t="str">
        <f t="shared" si="1"/>
        <v>January</v>
      </c>
      <c r="F8" s="10" t="str">
        <f t="shared" si="2"/>
        <v>Q1</v>
      </c>
      <c r="G8" s="10" t="str">
        <f t="shared" si="3"/>
        <v>2024-01</v>
      </c>
      <c r="H8" s="10" t="str">
        <f t="shared" si="4"/>
        <v>Monday</v>
      </c>
      <c r="I8" s="10" t="str">
        <f t="shared" si="5"/>
        <v>Weekday</v>
      </c>
      <c r="J8" t="s">
        <v>19</v>
      </c>
      <c r="K8" t="s">
        <v>29</v>
      </c>
      <c r="L8" t="s">
        <v>24</v>
      </c>
      <c r="M8">
        <v>24000</v>
      </c>
      <c r="N8">
        <v>1</v>
      </c>
      <c r="O8">
        <f t="shared" si="6"/>
        <v>24000</v>
      </c>
    </row>
    <row r="9" spans="1:17">
      <c r="A9">
        <v>1008</v>
      </c>
      <c r="B9" s="8">
        <v>45309</v>
      </c>
      <c r="C9" s="10">
        <f t="shared" si="7"/>
        <v>2024</v>
      </c>
      <c r="D9" s="10">
        <f t="shared" si="0"/>
        <v>1</v>
      </c>
      <c r="E9" s="10" t="str">
        <f t="shared" si="1"/>
        <v>January</v>
      </c>
      <c r="F9" s="10" t="str">
        <f t="shared" si="2"/>
        <v>Q1</v>
      </c>
      <c r="G9" s="10" t="str">
        <f t="shared" si="3"/>
        <v>2024-01</v>
      </c>
      <c r="H9" s="10" t="str">
        <f t="shared" si="4"/>
        <v>Thursday</v>
      </c>
      <c r="I9" s="10" t="str">
        <f t="shared" si="5"/>
        <v>Weekday</v>
      </c>
      <c r="J9" t="s">
        <v>18</v>
      </c>
      <c r="K9" t="s">
        <v>31</v>
      </c>
      <c r="L9" t="s">
        <v>25</v>
      </c>
      <c r="M9">
        <v>9000</v>
      </c>
      <c r="N9">
        <v>2</v>
      </c>
      <c r="O9">
        <f t="shared" si="6"/>
        <v>18000</v>
      </c>
    </row>
    <row r="10" spans="1:17">
      <c r="A10">
        <v>1009</v>
      </c>
      <c r="B10" s="8">
        <v>45311</v>
      </c>
      <c r="C10" s="10">
        <f t="shared" si="7"/>
        <v>2024</v>
      </c>
      <c r="D10" s="10">
        <f t="shared" si="0"/>
        <v>1</v>
      </c>
      <c r="E10" s="10" t="str">
        <f t="shared" si="1"/>
        <v>January</v>
      </c>
      <c r="F10" s="10" t="str">
        <f t="shared" si="2"/>
        <v>Q1</v>
      </c>
      <c r="G10" s="10" t="str">
        <f t="shared" si="3"/>
        <v>2024-01</v>
      </c>
      <c r="H10" s="10" t="str">
        <f t="shared" si="4"/>
        <v>Saturday</v>
      </c>
      <c r="I10" s="10" t="str">
        <f t="shared" si="5"/>
        <v>Weekend</v>
      </c>
      <c r="J10" t="s">
        <v>17</v>
      </c>
      <c r="K10" t="s">
        <v>33</v>
      </c>
      <c r="L10" t="s">
        <v>25</v>
      </c>
      <c r="M10">
        <v>13000</v>
      </c>
      <c r="N10">
        <v>1</v>
      </c>
      <c r="O10">
        <f t="shared" si="6"/>
        <v>13000</v>
      </c>
    </row>
    <row r="11" spans="1:17">
      <c r="A11">
        <v>1010</v>
      </c>
      <c r="B11" s="8">
        <v>45313</v>
      </c>
      <c r="C11" s="10">
        <f t="shared" si="7"/>
        <v>2024</v>
      </c>
      <c r="D11" s="10">
        <f t="shared" si="0"/>
        <v>1</v>
      </c>
      <c r="E11" s="10" t="str">
        <f t="shared" si="1"/>
        <v>January</v>
      </c>
      <c r="F11" s="10" t="str">
        <f t="shared" si="2"/>
        <v>Q1</v>
      </c>
      <c r="G11" s="10" t="str">
        <f t="shared" si="3"/>
        <v>2024-01</v>
      </c>
      <c r="H11" s="10" t="str">
        <f t="shared" si="4"/>
        <v>Monday</v>
      </c>
      <c r="I11" s="10" t="str">
        <f t="shared" si="5"/>
        <v>Weekday</v>
      </c>
      <c r="J11" t="s">
        <v>20</v>
      </c>
      <c r="K11" t="s">
        <v>28</v>
      </c>
      <c r="L11" t="s">
        <v>24</v>
      </c>
      <c r="M11">
        <v>60000</v>
      </c>
      <c r="N11">
        <v>1</v>
      </c>
      <c r="O11">
        <f t="shared" si="6"/>
        <v>60000</v>
      </c>
    </row>
    <row r="12" spans="1:17">
      <c r="A12">
        <v>1011</v>
      </c>
      <c r="B12" s="8">
        <v>45324</v>
      </c>
      <c r="C12" s="10">
        <f t="shared" si="7"/>
        <v>2024</v>
      </c>
      <c r="D12" s="10">
        <f t="shared" si="0"/>
        <v>2</v>
      </c>
      <c r="E12" s="10" t="str">
        <f t="shared" si="1"/>
        <v>February</v>
      </c>
      <c r="F12" s="10" t="str">
        <f t="shared" si="2"/>
        <v>Q1</v>
      </c>
      <c r="G12" s="10" t="str">
        <f t="shared" si="3"/>
        <v>2024-02</v>
      </c>
      <c r="H12" s="10" t="str">
        <f t="shared" si="4"/>
        <v>Friday</v>
      </c>
      <c r="I12" s="10" t="str">
        <f t="shared" si="5"/>
        <v>Weekday</v>
      </c>
      <c r="J12" t="s">
        <v>19</v>
      </c>
      <c r="K12" t="s">
        <v>32</v>
      </c>
      <c r="L12" t="s">
        <v>26</v>
      </c>
      <c r="M12">
        <v>14000</v>
      </c>
      <c r="N12">
        <v>1</v>
      </c>
      <c r="O12">
        <f xml:space="preserve"> M12*N12</f>
        <v>14000</v>
      </c>
    </row>
    <row r="13" spans="1:17">
      <c r="A13">
        <v>1012</v>
      </c>
      <c r="B13" s="8">
        <v>45414</v>
      </c>
      <c r="C13" s="10">
        <f t="shared" si="7"/>
        <v>2024</v>
      </c>
      <c r="D13" s="10">
        <f t="shared" si="0"/>
        <v>5</v>
      </c>
      <c r="E13" s="10" t="str">
        <f t="shared" si="1"/>
        <v>May</v>
      </c>
      <c r="F13" s="10" t="str">
        <f t="shared" si="2"/>
        <v>Q2</v>
      </c>
      <c r="G13" s="10" t="str">
        <f t="shared" si="3"/>
        <v>2024-05</v>
      </c>
      <c r="H13" s="10" t="str">
        <f t="shared" si="4"/>
        <v>Thursday</v>
      </c>
      <c r="I13" s="10" t="str">
        <f t="shared" si="5"/>
        <v>Weekday</v>
      </c>
      <c r="J13" t="s">
        <v>18</v>
      </c>
      <c r="K13" t="s">
        <v>30</v>
      </c>
      <c r="L13" t="s">
        <v>24</v>
      </c>
      <c r="M13">
        <v>20000</v>
      </c>
      <c r="N13">
        <v>1</v>
      </c>
      <c r="O13">
        <f t="shared" si="6"/>
        <v>20000</v>
      </c>
    </row>
    <row r="14" spans="1:17">
      <c r="A14">
        <v>1013</v>
      </c>
      <c r="B14" s="8">
        <v>45506</v>
      </c>
      <c r="C14" s="10">
        <f t="shared" si="7"/>
        <v>2024</v>
      </c>
      <c r="D14" s="10">
        <f t="shared" si="0"/>
        <v>8</v>
      </c>
      <c r="E14" s="10" t="str">
        <f t="shared" si="1"/>
        <v>August</v>
      </c>
      <c r="F14" s="10" t="str">
        <f t="shared" si="2"/>
        <v>Q3</v>
      </c>
      <c r="G14" s="10" t="str">
        <f t="shared" si="3"/>
        <v>2024-08</v>
      </c>
      <c r="H14" s="10" t="str">
        <f t="shared" si="4"/>
        <v>Friday</v>
      </c>
      <c r="I14" s="10" t="str">
        <f t="shared" si="5"/>
        <v>Weekday</v>
      </c>
      <c r="J14" t="s">
        <v>17</v>
      </c>
      <c r="K14" t="s">
        <v>29</v>
      </c>
      <c r="L14" t="s">
        <v>24</v>
      </c>
      <c r="M14">
        <v>26000</v>
      </c>
      <c r="N14">
        <v>1</v>
      </c>
      <c r="O14">
        <f t="shared" si="6"/>
        <v>26000</v>
      </c>
    </row>
    <row r="15" spans="1:17">
      <c r="A15">
        <v>1014</v>
      </c>
      <c r="B15" s="8">
        <v>45567</v>
      </c>
      <c r="C15" s="10">
        <f t="shared" si="7"/>
        <v>2024</v>
      </c>
      <c r="D15" s="10">
        <f t="shared" si="0"/>
        <v>10</v>
      </c>
      <c r="E15" s="10" t="str">
        <f t="shared" si="1"/>
        <v>October</v>
      </c>
      <c r="F15" s="10" t="str">
        <f t="shared" si="2"/>
        <v>Q4</v>
      </c>
      <c r="G15" s="10" t="str">
        <f t="shared" si="3"/>
        <v>2024-10</v>
      </c>
      <c r="H15" s="10" t="str">
        <f t="shared" si="4"/>
        <v>Wednesday</v>
      </c>
      <c r="I15" s="10" t="str">
        <f t="shared" si="5"/>
        <v>Weekday</v>
      </c>
      <c r="J15" t="s">
        <v>20</v>
      </c>
      <c r="K15" t="s">
        <v>31</v>
      </c>
      <c r="L15" t="s">
        <v>25</v>
      </c>
      <c r="M15">
        <v>7500</v>
      </c>
      <c r="N15">
        <v>2</v>
      </c>
      <c r="O15">
        <f t="shared" si="6"/>
        <v>15000</v>
      </c>
    </row>
    <row r="16" spans="1:17">
      <c r="A16">
        <v>1015</v>
      </c>
      <c r="B16" s="8">
        <v>45628</v>
      </c>
      <c r="C16" s="10">
        <f t="shared" si="7"/>
        <v>2024</v>
      </c>
      <c r="D16" s="10">
        <f t="shared" si="0"/>
        <v>12</v>
      </c>
      <c r="E16" s="10" t="str">
        <f t="shared" si="1"/>
        <v>December</v>
      </c>
      <c r="F16" s="10" t="str">
        <f t="shared" si="2"/>
        <v>Q4</v>
      </c>
      <c r="G16" s="10" t="str">
        <f t="shared" si="3"/>
        <v>2024-12</v>
      </c>
      <c r="H16" s="10" t="str">
        <f t="shared" si="4"/>
        <v>Monday</v>
      </c>
      <c r="I16" s="10" t="str">
        <f t="shared" si="5"/>
        <v>Weekday</v>
      </c>
      <c r="J16" t="s">
        <v>19</v>
      </c>
      <c r="K16" t="s">
        <v>33</v>
      </c>
      <c r="L16" t="s">
        <v>25</v>
      </c>
      <c r="M16">
        <v>11000</v>
      </c>
      <c r="N16">
        <v>1</v>
      </c>
      <c r="O16">
        <f t="shared" si="6"/>
        <v>11000</v>
      </c>
    </row>
    <row r="17" spans="1:15">
      <c r="A17">
        <v>1016</v>
      </c>
      <c r="B17" s="8">
        <v>45337</v>
      </c>
      <c r="C17" s="10">
        <f t="shared" si="7"/>
        <v>2024</v>
      </c>
      <c r="D17" s="10">
        <f t="shared" si="0"/>
        <v>2</v>
      </c>
      <c r="E17" s="10" t="str">
        <f t="shared" si="1"/>
        <v>February</v>
      </c>
      <c r="F17" s="10" t="str">
        <f t="shared" si="2"/>
        <v>Q1</v>
      </c>
      <c r="G17" s="10" t="str">
        <f t="shared" si="3"/>
        <v>2024-02</v>
      </c>
      <c r="H17" s="10" t="str">
        <f t="shared" si="4"/>
        <v>Thursday</v>
      </c>
      <c r="I17" s="10" t="str">
        <f t="shared" si="5"/>
        <v>Weekday</v>
      </c>
      <c r="J17" t="s">
        <v>18</v>
      </c>
      <c r="K17" t="s">
        <v>28</v>
      </c>
      <c r="L17" t="s">
        <v>24</v>
      </c>
      <c r="M17">
        <v>58000</v>
      </c>
      <c r="N17">
        <v>1</v>
      </c>
      <c r="O17">
        <f t="shared" si="6"/>
        <v>58000</v>
      </c>
    </row>
    <row r="18" spans="1:15">
      <c r="A18">
        <v>1017</v>
      </c>
      <c r="B18" s="8">
        <v>45340</v>
      </c>
      <c r="C18" s="10">
        <f t="shared" si="7"/>
        <v>2024</v>
      </c>
      <c r="D18" s="10">
        <f t="shared" si="0"/>
        <v>2</v>
      </c>
      <c r="E18" s="10" t="str">
        <f t="shared" si="1"/>
        <v>February</v>
      </c>
      <c r="F18" s="10" t="str">
        <f t="shared" si="2"/>
        <v>Q1</v>
      </c>
      <c r="G18" s="10" t="str">
        <f t="shared" si="3"/>
        <v>2024-02</v>
      </c>
      <c r="H18" s="10" t="str">
        <f t="shared" si="4"/>
        <v>Sunday</v>
      </c>
      <c r="I18" s="10" t="str">
        <f t="shared" si="5"/>
        <v>Weekend</v>
      </c>
      <c r="J18" t="s">
        <v>17</v>
      </c>
      <c r="K18" t="s">
        <v>32</v>
      </c>
      <c r="L18" t="s">
        <v>26</v>
      </c>
      <c r="M18">
        <v>16000</v>
      </c>
      <c r="N18">
        <v>1</v>
      </c>
      <c r="O18">
        <f t="shared" si="6"/>
        <v>16000</v>
      </c>
    </row>
    <row r="19" spans="1:15">
      <c r="A19">
        <v>1018</v>
      </c>
      <c r="B19" s="8">
        <v>45342</v>
      </c>
      <c r="C19" s="10">
        <f t="shared" si="7"/>
        <v>2024</v>
      </c>
      <c r="D19" s="10">
        <f t="shared" si="0"/>
        <v>2</v>
      </c>
      <c r="E19" s="10" t="str">
        <f t="shared" si="1"/>
        <v>February</v>
      </c>
      <c r="F19" s="10" t="str">
        <f t="shared" si="2"/>
        <v>Q1</v>
      </c>
      <c r="G19" s="10" t="str">
        <f t="shared" si="3"/>
        <v>2024-02</v>
      </c>
      <c r="H19" s="10" t="str">
        <f t="shared" si="4"/>
        <v>Tuesday</v>
      </c>
      <c r="I19" s="10" t="str">
        <f t="shared" si="5"/>
        <v>Weekday</v>
      </c>
      <c r="J19" t="s">
        <v>20</v>
      </c>
      <c r="K19" t="s">
        <v>30</v>
      </c>
      <c r="L19" t="s">
        <v>24</v>
      </c>
      <c r="M19">
        <v>21000</v>
      </c>
      <c r="N19">
        <v>1</v>
      </c>
      <c r="O19">
        <f t="shared" si="6"/>
        <v>21000</v>
      </c>
    </row>
    <row r="20" spans="1:15">
      <c r="A20">
        <v>1019</v>
      </c>
      <c r="B20" s="8">
        <v>45344</v>
      </c>
      <c r="C20" s="10">
        <f t="shared" si="7"/>
        <v>2024</v>
      </c>
      <c r="D20" s="10">
        <f t="shared" si="0"/>
        <v>2</v>
      </c>
      <c r="E20" s="10" t="str">
        <f t="shared" si="1"/>
        <v>February</v>
      </c>
      <c r="F20" s="10" t="str">
        <f t="shared" si="2"/>
        <v>Q1</v>
      </c>
      <c r="G20" s="10" t="str">
        <f t="shared" si="3"/>
        <v>2024-02</v>
      </c>
      <c r="H20" s="10" t="str">
        <f t="shared" si="4"/>
        <v>Thursday</v>
      </c>
      <c r="I20" s="10" t="str">
        <f t="shared" si="5"/>
        <v>Weekday</v>
      </c>
      <c r="J20" t="s">
        <v>19</v>
      </c>
      <c r="K20" t="s">
        <v>29</v>
      </c>
      <c r="L20" t="s">
        <v>24</v>
      </c>
      <c r="M20">
        <v>23000</v>
      </c>
      <c r="N20">
        <v>1</v>
      </c>
      <c r="O20">
        <f t="shared" si="6"/>
        <v>23000</v>
      </c>
    </row>
    <row r="21" spans="1:15">
      <c r="A21">
        <v>1020</v>
      </c>
      <c r="B21" s="8">
        <v>45347</v>
      </c>
      <c r="C21" s="10">
        <f t="shared" si="7"/>
        <v>2024</v>
      </c>
      <c r="D21" s="10">
        <f t="shared" si="0"/>
        <v>2</v>
      </c>
      <c r="E21" s="10" t="str">
        <f t="shared" si="1"/>
        <v>February</v>
      </c>
      <c r="F21" s="10" t="str">
        <f t="shared" si="2"/>
        <v>Q1</v>
      </c>
      <c r="G21" s="10" t="str">
        <f t="shared" si="3"/>
        <v>2024-02</v>
      </c>
      <c r="H21" s="10" t="str">
        <f t="shared" si="4"/>
        <v>Sunday</v>
      </c>
      <c r="I21" s="10" t="str">
        <f t="shared" si="5"/>
        <v>Weekend</v>
      </c>
      <c r="J21" t="s">
        <v>18</v>
      </c>
      <c r="K21" t="s">
        <v>31</v>
      </c>
      <c r="L21" t="s">
        <v>25</v>
      </c>
      <c r="M21">
        <v>8500</v>
      </c>
      <c r="N21">
        <v>2</v>
      </c>
      <c r="O21">
        <f t="shared" si="6"/>
        <v>17000</v>
      </c>
    </row>
    <row r="22" spans="1:15">
      <c r="A22">
        <v>1021</v>
      </c>
      <c r="B22" s="8">
        <v>45294</v>
      </c>
      <c r="C22" s="10">
        <f t="shared" si="7"/>
        <v>2024</v>
      </c>
      <c r="D22" s="10">
        <f t="shared" si="0"/>
        <v>1</v>
      </c>
      <c r="E22" s="10" t="str">
        <f t="shared" si="1"/>
        <v>January</v>
      </c>
      <c r="F22" s="10" t="str">
        <f t="shared" si="2"/>
        <v>Q1</v>
      </c>
      <c r="G22" s="10" t="str">
        <f t="shared" si="3"/>
        <v>2024-01</v>
      </c>
      <c r="H22" s="10" t="str">
        <f t="shared" si="4"/>
        <v>Wednesday</v>
      </c>
      <c r="I22" s="10" t="str">
        <f t="shared" si="5"/>
        <v>Weekday</v>
      </c>
      <c r="J22" t="s">
        <v>17</v>
      </c>
      <c r="K22" t="s">
        <v>33</v>
      </c>
      <c r="L22" t="s">
        <v>25</v>
      </c>
      <c r="M22">
        <v>14000</v>
      </c>
      <c r="N22">
        <v>1</v>
      </c>
      <c r="O22">
        <f t="shared" si="6"/>
        <v>14000</v>
      </c>
    </row>
    <row r="23" spans="1:15">
      <c r="A23">
        <v>1022</v>
      </c>
      <c r="B23" s="8">
        <v>45385</v>
      </c>
      <c r="C23" s="10">
        <f t="shared" si="7"/>
        <v>2024</v>
      </c>
      <c r="D23" s="10">
        <f t="shared" si="0"/>
        <v>4</v>
      </c>
      <c r="E23" s="10" t="str">
        <f t="shared" si="1"/>
        <v>April</v>
      </c>
      <c r="F23" s="10" t="str">
        <f t="shared" si="2"/>
        <v>Q2</v>
      </c>
      <c r="G23" s="10" t="str">
        <f t="shared" si="3"/>
        <v>2024-04</v>
      </c>
      <c r="H23" s="10" t="str">
        <f t="shared" si="4"/>
        <v>Wednesday</v>
      </c>
      <c r="I23" s="10" t="str">
        <f t="shared" si="5"/>
        <v>Weekday</v>
      </c>
      <c r="J23" t="s">
        <v>20</v>
      </c>
      <c r="K23" t="s">
        <v>28</v>
      </c>
      <c r="L23" t="s">
        <v>24</v>
      </c>
      <c r="M23">
        <v>62000</v>
      </c>
      <c r="N23">
        <v>1</v>
      </c>
      <c r="O23">
        <f t="shared" si="6"/>
        <v>62000</v>
      </c>
    </row>
    <row r="24" spans="1:15">
      <c r="A24">
        <v>1023</v>
      </c>
      <c r="B24" s="8">
        <v>45476</v>
      </c>
      <c r="C24" s="10">
        <f t="shared" si="7"/>
        <v>2024</v>
      </c>
      <c r="D24" s="10">
        <f t="shared" si="0"/>
        <v>7</v>
      </c>
      <c r="E24" s="10" t="str">
        <f t="shared" si="1"/>
        <v>July</v>
      </c>
      <c r="F24" s="10" t="str">
        <f t="shared" si="2"/>
        <v>Q3</v>
      </c>
      <c r="G24" s="10" t="str">
        <f t="shared" si="3"/>
        <v>2024-07</v>
      </c>
      <c r="H24" s="10" t="str">
        <f t="shared" si="4"/>
        <v>Wednesday</v>
      </c>
      <c r="I24" s="10" t="str">
        <f t="shared" si="5"/>
        <v>Weekday</v>
      </c>
      <c r="J24" t="s">
        <v>19</v>
      </c>
      <c r="K24" t="s">
        <v>32</v>
      </c>
      <c r="L24" t="s">
        <v>26</v>
      </c>
      <c r="M24">
        <v>15500</v>
      </c>
      <c r="N24">
        <v>1</v>
      </c>
      <c r="O24">
        <f t="shared" si="6"/>
        <v>15500</v>
      </c>
    </row>
    <row r="25" spans="1:15">
      <c r="A25">
        <v>1024</v>
      </c>
      <c r="B25" s="8">
        <v>45568</v>
      </c>
      <c r="C25" s="10">
        <f t="shared" si="7"/>
        <v>2024</v>
      </c>
      <c r="D25" s="10">
        <f t="shared" si="0"/>
        <v>10</v>
      </c>
      <c r="E25" s="10" t="str">
        <f t="shared" si="1"/>
        <v>October</v>
      </c>
      <c r="F25" s="10" t="str">
        <f t="shared" si="2"/>
        <v>Q4</v>
      </c>
      <c r="G25" s="10" t="str">
        <f t="shared" si="3"/>
        <v>2024-10</v>
      </c>
      <c r="H25" s="10" t="str">
        <f t="shared" si="4"/>
        <v>Thursday</v>
      </c>
      <c r="I25" s="10" t="str">
        <f t="shared" si="5"/>
        <v>Weekday</v>
      </c>
      <c r="J25" t="s">
        <v>18</v>
      </c>
      <c r="K25" t="s">
        <v>30</v>
      </c>
      <c r="L25" t="s">
        <v>24</v>
      </c>
      <c r="M25">
        <v>19500</v>
      </c>
      <c r="N25">
        <v>1</v>
      </c>
      <c r="O25">
        <f t="shared" si="6"/>
        <v>19500</v>
      </c>
    </row>
    <row r="26" spans="1:15">
      <c r="A26">
        <v>1025</v>
      </c>
      <c r="B26" s="8">
        <v>45629</v>
      </c>
      <c r="C26" s="10">
        <f t="shared" si="7"/>
        <v>2024</v>
      </c>
      <c r="D26" s="10">
        <f t="shared" si="0"/>
        <v>12</v>
      </c>
      <c r="E26" s="10" t="str">
        <f t="shared" si="1"/>
        <v>December</v>
      </c>
      <c r="F26" s="10" t="str">
        <f t="shared" si="2"/>
        <v>Q4</v>
      </c>
      <c r="G26" s="10" t="str">
        <f t="shared" si="3"/>
        <v>2024-12</v>
      </c>
      <c r="H26" s="10" t="str">
        <f t="shared" si="4"/>
        <v>Tuesday</v>
      </c>
      <c r="I26" s="10" t="str">
        <f t="shared" si="5"/>
        <v>Weekday</v>
      </c>
      <c r="J26" t="s">
        <v>17</v>
      </c>
      <c r="K26" t="s">
        <v>29</v>
      </c>
      <c r="L26" t="s">
        <v>24</v>
      </c>
      <c r="M26">
        <v>27000</v>
      </c>
      <c r="N26">
        <v>1</v>
      </c>
      <c r="O26">
        <f t="shared" si="6"/>
        <v>27000</v>
      </c>
    </row>
    <row r="27" spans="1:15">
      <c r="A27">
        <v>1026</v>
      </c>
      <c r="B27" s="8">
        <v>45366</v>
      </c>
      <c r="C27" s="10">
        <f t="shared" si="7"/>
        <v>2024</v>
      </c>
      <c r="D27" s="10">
        <f t="shared" si="0"/>
        <v>3</v>
      </c>
      <c r="E27" s="10" t="str">
        <f t="shared" si="1"/>
        <v>March</v>
      </c>
      <c r="F27" s="10" t="str">
        <f t="shared" si="2"/>
        <v>Q1</v>
      </c>
      <c r="G27" s="10" t="str">
        <f t="shared" si="3"/>
        <v>2024-03</v>
      </c>
      <c r="H27" s="10" t="str">
        <f t="shared" si="4"/>
        <v>Friday</v>
      </c>
      <c r="I27" s="10" t="str">
        <f t="shared" si="5"/>
        <v>Weekday</v>
      </c>
      <c r="J27" t="s">
        <v>20</v>
      </c>
      <c r="K27" t="s">
        <v>31</v>
      </c>
      <c r="L27" t="s">
        <v>25</v>
      </c>
      <c r="M27">
        <v>8200</v>
      </c>
      <c r="N27">
        <v>2</v>
      </c>
      <c r="O27">
        <f t="shared" si="6"/>
        <v>16400</v>
      </c>
    </row>
    <row r="28" spans="1:15">
      <c r="A28">
        <v>1027</v>
      </c>
      <c r="B28" s="8">
        <v>45369</v>
      </c>
      <c r="C28" s="10">
        <f t="shared" si="7"/>
        <v>2024</v>
      </c>
      <c r="D28" s="10">
        <f t="shared" si="0"/>
        <v>3</v>
      </c>
      <c r="E28" s="10" t="str">
        <f t="shared" si="1"/>
        <v>March</v>
      </c>
      <c r="F28" s="10" t="str">
        <f t="shared" si="2"/>
        <v>Q1</v>
      </c>
      <c r="G28" s="10" t="str">
        <f t="shared" si="3"/>
        <v>2024-03</v>
      </c>
      <c r="H28" s="10" t="str">
        <f t="shared" si="4"/>
        <v>Monday</v>
      </c>
      <c r="I28" s="10" t="str">
        <f t="shared" si="5"/>
        <v>Weekday</v>
      </c>
      <c r="J28" t="s">
        <v>19</v>
      </c>
      <c r="K28" t="s">
        <v>33</v>
      </c>
      <c r="L28" t="s">
        <v>25</v>
      </c>
      <c r="M28">
        <v>12500</v>
      </c>
      <c r="N28">
        <v>1</v>
      </c>
      <c r="O28">
        <f t="shared" si="6"/>
        <v>12500</v>
      </c>
    </row>
    <row r="29" spans="1:15">
      <c r="A29">
        <v>1028</v>
      </c>
      <c r="B29" s="8">
        <v>45371</v>
      </c>
      <c r="C29" s="10">
        <f t="shared" si="7"/>
        <v>2024</v>
      </c>
      <c r="D29" s="10">
        <f t="shared" si="0"/>
        <v>3</v>
      </c>
      <c r="E29" s="10" t="str">
        <f t="shared" si="1"/>
        <v>March</v>
      </c>
      <c r="F29" s="10" t="str">
        <f t="shared" si="2"/>
        <v>Q1</v>
      </c>
      <c r="G29" s="10" t="str">
        <f t="shared" si="3"/>
        <v>2024-03</v>
      </c>
      <c r="H29" s="10" t="str">
        <f t="shared" si="4"/>
        <v>Wednesday</v>
      </c>
      <c r="I29" s="10" t="str">
        <f t="shared" si="5"/>
        <v>Weekday</v>
      </c>
      <c r="J29" t="s">
        <v>18</v>
      </c>
      <c r="K29" t="s">
        <v>28</v>
      </c>
      <c r="L29" t="s">
        <v>24</v>
      </c>
      <c r="M29">
        <v>59000</v>
      </c>
      <c r="N29">
        <v>1</v>
      </c>
      <c r="O29">
        <f t="shared" si="6"/>
        <v>59000</v>
      </c>
    </row>
    <row r="30" spans="1:15">
      <c r="A30">
        <v>1029</v>
      </c>
      <c r="B30" s="8">
        <v>45374</v>
      </c>
      <c r="C30" s="10">
        <f t="shared" si="7"/>
        <v>2024</v>
      </c>
      <c r="D30" s="10">
        <f t="shared" si="0"/>
        <v>3</v>
      </c>
      <c r="E30" s="10" t="str">
        <f t="shared" si="1"/>
        <v>March</v>
      </c>
      <c r="F30" s="10" t="str">
        <f t="shared" si="2"/>
        <v>Q1</v>
      </c>
      <c r="G30" s="10" t="str">
        <f t="shared" si="3"/>
        <v>2024-03</v>
      </c>
      <c r="H30" s="10" t="str">
        <f t="shared" si="4"/>
        <v>Saturday</v>
      </c>
      <c r="I30" s="10" t="str">
        <f t="shared" si="5"/>
        <v>Weekend</v>
      </c>
      <c r="J30" t="s">
        <v>17</v>
      </c>
      <c r="K30" t="s">
        <v>32</v>
      </c>
      <c r="L30" t="s">
        <v>26</v>
      </c>
      <c r="M30">
        <v>16500</v>
      </c>
      <c r="N30">
        <v>1</v>
      </c>
      <c r="O30">
        <f t="shared" si="6"/>
        <v>16500</v>
      </c>
    </row>
    <row r="31" spans="1:15">
      <c r="A31">
        <v>1030</v>
      </c>
      <c r="B31" s="8">
        <v>45377</v>
      </c>
      <c r="C31" s="10">
        <f t="shared" si="7"/>
        <v>2024</v>
      </c>
      <c r="D31" s="10">
        <f t="shared" si="0"/>
        <v>3</v>
      </c>
      <c r="E31" s="10" t="str">
        <f t="shared" si="1"/>
        <v>March</v>
      </c>
      <c r="F31" s="10" t="str">
        <f t="shared" si="2"/>
        <v>Q1</v>
      </c>
      <c r="G31" s="10" t="str">
        <f t="shared" si="3"/>
        <v>2024-03</v>
      </c>
      <c r="H31" s="10" t="str">
        <f t="shared" si="4"/>
        <v>Tuesday</v>
      </c>
      <c r="I31" s="10" t="str">
        <f t="shared" si="5"/>
        <v>Weekday</v>
      </c>
      <c r="J31" t="s">
        <v>20</v>
      </c>
      <c r="K31" t="s">
        <v>30</v>
      </c>
      <c r="L31" t="s">
        <v>24</v>
      </c>
      <c r="M31">
        <v>20500</v>
      </c>
      <c r="N31">
        <v>1</v>
      </c>
      <c r="O31">
        <f t="shared" si="6"/>
        <v>20500</v>
      </c>
    </row>
    <row r="32" spans="1:15">
      <c r="A32" s="3">
        <v>1031</v>
      </c>
      <c r="B32" s="8">
        <v>45379</v>
      </c>
      <c r="C32" s="10">
        <f t="shared" si="7"/>
        <v>2024</v>
      </c>
      <c r="D32" s="10">
        <f t="shared" si="0"/>
        <v>3</v>
      </c>
      <c r="E32" s="10" t="str">
        <f t="shared" si="1"/>
        <v>March</v>
      </c>
      <c r="F32" s="10" t="str">
        <f t="shared" si="2"/>
        <v>Q1</v>
      </c>
      <c r="G32" s="10" t="str">
        <f t="shared" si="3"/>
        <v>2024-03</v>
      </c>
      <c r="H32" s="10" t="str">
        <f t="shared" si="4"/>
        <v>Thursday</v>
      </c>
      <c r="I32" s="10" t="str">
        <f t="shared" si="5"/>
        <v>Weekday</v>
      </c>
      <c r="J32" t="s">
        <v>19</v>
      </c>
      <c r="K32" t="s">
        <v>28</v>
      </c>
      <c r="L32" t="s">
        <v>24</v>
      </c>
      <c r="M32">
        <v>61000</v>
      </c>
      <c r="N32">
        <v>1</v>
      </c>
      <c r="O32">
        <f t="shared" si="6"/>
        <v>61000</v>
      </c>
    </row>
    <row r="33" spans="1:15">
      <c r="A33">
        <v>1032</v>
      </c>
      <c r="B33" s="8">
        <v>45381</v>
      </c>
      <c r="C33" s="10">
        <f t="shared" si="7"/>
        <v>2024</v>
      </c>
      <c r="D33" s="10">
        <f t="shared" si="0"/>
        <v>3</v>
      </c>
      <c r="E33" s="10" t="str">
        <f t="shared" si="1"/>
        <v>March</v>
      </c>
      <c r="F33" s="10" t="str">
        <f t="shared" si="2"/>
        <v>Q1</v>
      </c>
      <c r="G33" s="10" t="str">
        <f t="shared" si="3"/>
        <v>2024-03</v>
      </c>
      <c r="H33" s="10" t="str">
        <f t="shared" si="4"/>
        <v>Saturday</v>
      </c>
      <c r="I33" s="10" t="str">
        <f t="shared" si="5"/>
        <v>Weekend</v>
      </c>
      <c r="J33" t="s">
        <v>18</v>
      </c>
      <c r="K33" t="s">
        <v>29</v>
      </c>
      <c r="L33" t="s">
        <v>24</v>
      </c>
      <c r="M33">
        <v>25000</v>
      </c>
      <c r="N33">
        <v>1</v>
      </c>
      <c r="O33">
        <f t="shared" si="6"/>
        <v>25000</v>
      </c>
    </row>
    <row r="34" spans="1:15">
      <c r="A34">
        <v>1033</v>
      </c>
      <c r="B34" s="8">
        <v>45295</v>
      </c>
      <c r="C34" s="10">
        <f t="shared" ref="C34:C65" si="8">YEAR(B34)</f>
        <v>2024</v>
      </c>
      <c r="D34" s="10">
        <f t="shared" ref="D34:D65" si="9">MONTH(B34)</f>
        <v>1</v>
      </c>
      <c r="E34" s="10" t="str">
        <f t="shared" ref="E34:E65" si="10">TEXT(B34,"mmmm")</f>
        <v>January</v>
      </c>
      <c r="F34" s="10" t="str">
        <f t="shared" ref="F34:F65" si="11">"Q"&amp;ROUNDUP(MONTH(B34)/3,0)</f>
        <v>Q1</v>
      </c>
      <c r="G34" s="10" t="str">
        <f t="shared" ref="G34:G65" si="12">TEXT(B34,"yyyy-mm")</f>
        <v>2024-01</v>
      </c>
      <c r="H34" s="10" t="str">
        <f t="shared" ref="H34:H65" si="13">TEXT(B34,"dddd")</f>
        <v>Thursday</v>
      </c>
      <c r="I34" s="10" t="str">
        <f t="shared" ref="I34:I65" si="14">IF(OR(H34="Saturday",H34="Sunday"),"Weekend","Weekday")</f>
        <v>Weekday</v>
      </c>
      <c r="J34" t="s">
        <v>17</v>
      </c>
      <c r="K34" t="s">
        <v>31</v>
      </c>
      <c r="L34" t="s">
        <v>25</v>
      </c>
      <c r="M34">
        <v>8200</v>
      </c>
      <c r="N34">
        <v>2</v>
      </c>
      <c r="O34">
        <f t="shared" ref="O34:O65" si="15" xml:space="preserve"> M34*N34</f>
        <v>16400</v>
      </c>
    </row>
    <row r="35" spans="1:15">
      <c r="A35">
        <v>1034</v>
      </c>
      <c r="B35" s="8">
        <v>45355</v>
      </c>
      <c r="C35" s="10">
        <f t="shared" si="8"/>
        <v>2024</v>
      </c>
      <c r="D35" s="10">
        <f t="shared" si="9"/>
        <v>3</v>
      </c>
      <c r="E35" s="10" t="str">
        <f t="shared" si="10"/>
        <v>March</v>
      </c>
      <c r="F35" s="10" t="str">
        <f t="shared" si="11"/>
        <v>Q1</v>
      </c>
      <c r="G35" s="10" t="str">
        <f t="shared" si="12"/>
        <v>2024-03</v>
      </c>
      <c r="H35" s="10" t="str">
        <f t="shared" si="13"/>
        <v>Monday</v>
      </c>
      <c r="I35" s="10" t="str">
        <f t="shared" si="14"/>
        <v>Weekday</v>
      </c>
      <c r="J35" t="s">
        <v>20</v>
      </c>
      <c r="K35" t="s">
        <v>33</v>
      </c>
      <c r="L35" t="s">
        <v>25</v>
      </c>
      <c r="M35">
        <v>13500</v>
      </c>
      <c r="N35">
        <v>1</v>
      </c>
      <c r="O35">
        <f t="shared" si="15"/>
        <v>13500</v>
      </c>
    </row>
    <row r="36" spans="1:15">
      <c r="A36">
        <v>1035</v>
      </c>
      <c r="B36" s="8">
        <v>45416</v>
      </c>
      <c r="C36" s="10">
        <f t="shared" si="8"/>
        <v>2024</v>
      </c>
      <c r="D36" s="10">
        <f t="shared" si="9"/>
        <v>5</v>
      </c>
      <c r="E36" s="10" t="str">
        <f t="shared" si="10"/>
        <v>May</v>
      </c>
      <c r="F36" s="10" t="str">
        <f t="shared" si="11"/>
        <v>Q2</v>
      </c>
      <c r="G36" s="10" t="str">
        <f t="shared" si="12"/>
        <v>2024-05</v>
      </c>
      <c r="H36" s="10" t="str">
        <f t="shared" si="13"/>
        <v>Saturday</v>
      </c>
      <c r="I36" s="10" t="str">
        <f t="shared" si="14"/>
        <v>Weekend</v>
      </c>
      <c r="J36" t="s">
        <v>19</v>
      </c>
      <c r="K36" t="s">
        <v>32</v>
      </c>
      <c r="L36" t="s">
        <v>26</v>
      </c>
      <c r="M36">
        <v>14500</v>
      </c>
      <c r="N36">
        <v>1</v>
      </c>
      <c r="O36">
        <f t="shared" si="15"/>
        <v>14500</v>
      </c>
    </row>
    <row r="37" spans="1:15">
      <c r="A37">
        <v>1036</v>
      </c>
      <c r="B37" s="8">
        <v>45477</v>
      </c>
      <c r="C37" s="10">
        <f t="shared" si="8"/>
        <v>2024</v>
      </c>
      <c r="D37" s="10">
        <f t="shared" si="9"/>
        <v>7</v>
      </c>
      <c r="E37" s="10" t="str">
        <f t="shared" si="10"/>
        <v>July</v>
      </c>
      <c r="F37" s="10" t="str">
        <f t="shared" si="11"/>
        <v>Q3</v>
      </c>
      <c r="G37" s="10" t="str">
        <f t="shared" si="12"/>
        <v>2024-07</v>
      </c>
      <c r="H37" s="10" t="str">
        <f t="shared" si="13"/>
        <v>Thursday</v>
      </c>
      <c r="I37" s="10" t="str">
        <f t="shared" si="14"/>
        <v>Weekday</v>
      </c>
      <c r="J37" t="s">
        <v>18</v>
      </c>
      <c r="K37" t="s">
        <v>30</v>
      </c>
      <c r="L37" t="s">
        <v>24</v>
      </c>
      <c r="M37">
        <v>21500</v>
      </c>
      <c r="N37">
        <v>1</v>
      </c>
      <c r="O37">
        <f t="shared" si="15"/>
        <v>21500</v>
      </c>
    </row>
    <row r="38" spans="1:15">
      <c r="A38">
        <v>1037</v>
      </c>
      <c r="B38" s="8">
        <v>45539</v>
      </c>
      <c r="C38" s="10">
        <f t="shared" si="8"/>
        <v>2024</v>
      </c>
      <c r="D38" s="10">
        <f t="shared" si="9"/>
        <v>9</v>
      </c>
      <c r="E38" s="10" t="str">
        <f t="shared" si="10"/>
        <v>September</v>
      </c>
      <c r="F38" s="10" t="str">
        <f t="shared" si="11"/>
        <v>Q3</v>
      </c>
      <c r="G38" s="10" t="str">
        <f t="shared" si="12"/>
        <v>2024-09</v>
      </c>
      <c r="H38" s="10" t="str">
        <f t="shared" si="13"/>
        <v>Wednesday</v>
      </c>
      <c r="I38" s="10" t="str">
        <f t="shared" si="14"/>
        <v>Weekday</v>
      </c>
      <c r="J38" t="s">
        <v>17</v>
      </c>
      <c r="K38" t="s">
        <v>29</v>
      </c>
      <c r="L38" t="s">
        <v>24</v>
      </c>
      <c r="M38">
        <v>27000</v>
      </c>
      <c r="N38">
        <v>1</v>
      </c>
      <c r="O38">
        <f t="shared" si="15"/>
        <v>27000</v>
      </c>
    </row>
    <row r="39" spans="1:15">
      <c r="A39">
        <v>1038</v>
      </c>
      <c r="B39" s="8">
        <v>45600</v>
      </c>
      <c r="C39" s="10">
        <f t="shared" si="8"/>
        <v>2024</v>
      </c>
      <c r="D39" s="10">
        <f t="shared" si="9"/>
        <v>11</v>
      </c>
      <c r="E39" s="10" t="str">
        <f t="shared" si="10"/>
        <v>November</v>
      </c>
      <c r="F39" s="10" t="str">
        <f t="shared" si="11"/>
        <v>Q4</v>
      </c>
      <c r="G39" s="10" t="str">
        <f t="shared" si="12"/>
        <v>2024-11</v>
      </c>
      <c r="H39" s="10" t="str">
        <f t="shared" si="13"/>
        <v>Monday</v>
      </c>
      <c r="I39" s="10" t="str">
        <f t="shared" si="14"/>
        <v>Weekday</v>
      </c>
      <c r="J39" t="s">
        <v>20</v>
      </c>
      <c r="K39" t="s">
        <v>28</v>
      </c>
      <c r="L39" t="s">
        <v>24</v>
      </c>
      <c r="M39">
        <v>63000</v>
      </c>
      <c r="N39">
        <v>1</v>
      </c>
      <c r="O39">
        <f t="shared" si="15"/>
        <v>63000</v>
      </c>
    </row>
    <row r="40" spans="1:15">
      <c r="A40">
        <v>1039</v>
      </c>
      <c r="B40" s="8">
        <v>45395</v>
      </c>
      <c r="C40" s="10">
        <f t="shared" si="8"/>
        <v>2024</v>
      </c>
      <c r="D40" s="10">
        <f t="shared" si="9"/>
        <v>4</v>
      </c>
      <c r="E40" s="10" t="str">
        <f t="shared" si="10"/>
        <v>April</v>
      </c>
      <c r="F40" s="10" t="str">
        <f t="shared" si="11"/>
        <v>Q2</v>
      </c>
      <c r="G40" s="10" t="str">
        <f t="shared" si="12"/>
        <v>2024-04</v>
      </c>
      <c r="H40" s="10" t="str">
        <f t="shared" si="13"/>
        <v>Saturday</v>
      </c>
      <c r="I40" s="10" t="str">
        <f t="shared" si="14"/>
        <v>Weekend</v>
      </c>
      <c r="J40" t="s">
        <v>19</v>
      </c>
      <c r="K40" t="s">
        <v>31</v>
      </c>
      <c r="L40" t="s">
        <v>25</v>
      </c>
      <c r="M40">
        <v>8800</v>
      </c>
      <c r="N40">
        <v>2</v>
      </c>
      <c r="O40">
        <f t="shared" si="15"/>
        <v>17600</v>
      </c>
    </row>
    <row r="41" spans="1:15">
      <c r="A41">
        <v>1040</v>
      </c>
      <c r="B41" s="8">
        <v>45397</v>
      </c>
      <c r="C41" s="10">
        <f t="shared" si="8"/>
        <v>2024</v>
      </c>
      <c r="D41" s="10">
        <f t="shared" si="9"/>
        <v>4</v>
      </c>
      <c r="E41" s="10" t="str">
        <f t="shared" si="10"/>
        <v>April</v>
      </c>
      <c r="F41" s="10" t="str">
        <f t="shared" si="11"/>
        <v>Q2</v>
      </c>
      <c r="G41" s="10" t="str">
        <f t="shared" si="12"/>
        <v>2024-04</v>
      </c>
      <c r="H41" s="10" t="str">
        <f t="shared" si="13"/>
        <v>Monday</v>
      </c>
      <c r="I41" s="10" t="str">
        <f t="shared" si="14"/>
        <v>Weekday</v>
      </c>
      <c r="J41" t="s">
        <v>18</v>
      </c>
      <c r="K41" t="s">
        <v>33</v>
      </c>
      <c r="L41" t="s">
        <v>25</v>
      </c>
      <c r="M41">
        <v>14000</v>
      </c>
      <c r="N41">
        <v>1</v>
      </c>
      <c r="O41">
        <f t="shared" si="15"/>
        <v>14000</v>
      </c>
    </row>
    <row r="42" spans="1:15">
      <c r="A42">
        <v>1041</v>
      </c>
      <c r="B42" s="8">
        <v>45399</v>
      </c>
      <c r="C42" s="10">
        <f t="shared" si="8"/>
        <v>2024</v>
      </c>
      <c r="D42" s="10">
        <f t="shared" si="9"/>
        <v>4</v>
      </c>
      <c r="E42" s="10" t="str">
        <f t="shared" si="10"/>
        <v>April</v>
      </c>
      <c r="F42" s="10" t="str">
        <f t="shared" si="11"/>
        <v>Q2</v>
      </c>
      <c r="G42" s="10" t="str">
        <f t="shared" si="12"/>
        <v>2024-04</v>
      </c>
      <c r="H42" s="10" t="str">
        <f t="shared" si="13"/>
        <v>Wednesday</v>
      </c>
      <c r="I42" s="10" t="str">
        <f t="shared" si="14"/>
        <v>Weekday</v>
      </c>
      <c r="J42" t="s">
        <v>17</v>
      </c>
      <c r="K42" t="s">
        <v>32</v>
      </c>
      <c r="L42" t="s">
        <v>26</v>
      </c>
      <c r="M42">
        <v>16000</v>
      </c>
      <c r="N42">
        <v>1</v>
      </c>
      <c r="O42">
        <f t="shared" si="15"/>
        <v>16000</v>
      </c>
    </row>
    <row r="43" spans="1:15">
      <c r="A43">
        <v>1042</v>
      </c>
      <c r="B43" s="8">
        <v>45401</v>
      </c>
      <c r="C43" s="10">
        <f t="shared" si="8"/>
        <v>2024</v>
      </c>
      <c r="D43" s="10">
        <f t="shared" si="9"/>
        <v>4</v>
      </c>
      <c r="E43" s="10" t="str">
        <f t="shared" si="10"/>
        <v>April</v>
      </c>
      <c r="F43" s="10" t="str">
        <f t="shared" si="11"/>
        <v>Q2</v>
      </c>
      <c r="G43" s="10" t="str">
        <f t="shared" si="12"/>
        <v>2024-04</v>
      </c>
      <c r="H43" s="10" t="str">
        <f t="shared" si="13"/>
        <v>Friday</v>
      </c>
      <c r="I43" s="10" t="str">
        <f t="shared" si="14"/>
        <v>Weekday</v>
      </c>
      <c r="J43" t="s">
        <v>20</v>
      </c>
      <c r="K43" t="s">
        <v>30</v>
      </c>
      <c r="L43" t="s">
        <v>24</v>
      </c>
      <c r="M43">
        <v>20500</v>
      </c>
      <c r="N43">
        <v>1</v>
      </c>
      <c r="O43">
        <f t="shared" si="15"/>
        <v>20500</v>
      </c>
    </row>
    <row r="44" spans="1:15">
      <c r="A44">
        <v>1043</v>
      </c>
      <c r="B44" s="8">
        <v>45403</v>
      </c>
      <c r="C44" s="10">
        <f t="shared" si="8"/>
        <v>2024</v>
      </c>
      <c r="D44" s="10">
        <f t="shared" si="9"/>
        <v>4</v>
      </c>
      <c r="E44" s="10" t="str">
        <f t="shared" si="10"/>
        <v>April</v>
      </c>
      <c r="F44" s="10" t="str">
        <f t="shared" si="11"/>
        <v>Q2</v>
      </c>
      <c r="G44" s="10" t="str">
        <f t="shared" si="12"/>
        <v>2024-04</v>
      </c>
      <c r="H44" s="10" t="str">
        <f t="shared" si="13"/>
        <v>Sunday</v>
      </c>
      <c r="I44" s="10" t="str">
        <f t="shared" si="14"/>
        <v>Weekend</v>
      </c>
      <c r="J44" t="s">
        <v>19</v>
      </c>
      <c r="K44" t="s">
        <v>29</v>
      </c>
      <c r="L44" t="s">
        <v>24</v>
      </c>
      <c r="M44">
        <v>23500</v>
      </c>
      <c r="N44">
        <v>1</v>
      </c>
      <c r="O44">
        <f t="shared" si="15"/>
        <v>23500</v>
      </c>
    </row>
    <row r="45" spans="1:15">
      <c r="A45">
        <v>1044</v>
      </c>
      <c r="B45" s="8">
        <v>45405</v>
      </c>
      <c r="C45" s="10">
        <f t="shared" si="8"/>
        <v>2024</v>
      </c>
      <c r="D45" s="10">
        <f t="shared" si="9"/>
        <v>4</v>
      </c>
      <c r="E45" s="10" t="str">
        <f t="shared" si="10"/>
        <v>April</v>
      </c>
      <c r="F45" s="10" t="str">
        <f t="shared" si="11"/>
        <v>Q2</v>
      </c>
      <c r="G45" s="10" t="str">
        <f t="shared" si="12"/>
        <v>2024-04</v>
      </c>
      <c r="H45" s="10" t="str">
        <f t="shared" si="13"/>
        <v>Tuesday</v>
      </c>
      <c r="I45" s="10" t="str">
        <f t="shared" si="14"/>
        <v>Weekday</v>
      </c>
      <c r="J45" t="s">
        <v>18</v>
      </c>
      <c r="K45" t="s">
        <v>28</v>
      </c>
      <c r="L45" t="s">
        <v>24</v>
      </c>
      <c r="M45">
        <v>59000</v>
      </c>
      <c r="N45">
        <v>1</v>
      </c>
      <c r="O45">
        <f t="shared" si="15"/>
        <v>59000</v>
      </c>
    </row>
    <row r="46" spans="1:15">
      <c r="A46">
        <v>1045</v>
      </c>
      <c r="B46" s="8">
        <v>45407</v>
      </c>
      <c r="C46" s="10">
        <f t="shared" si="8"/>
        <v>2024</v>
      </c>
      <c r="D46" s="10">
        <f t="shared" si="9"/>
        <v>4</v>
      </c>
      <c r="E46" s="10" t="str">
        <f t="shared" si="10"/>
        <v>April</v>
      </c>
      <c r="F46" s="10" t="str">
        <f t="shared" si="11"/>
        <v>Q2</v>
      </c>
      <c r="G46" s="10" t="str">
        <f t="shared" si="12"/>
        <v>2024-04</v>
      </c>
      <c r="H46" s="10" t="str">
        <f t="shared" si="13"/>
        <v>Thursday</v>
      </c>
      <c r="I46" s="10" t="str">
        <f t="shared" si="14"/>
        <v>Weekday</v>
      </c>
      <c r="J46" t="s">
        <v>17</v>
      </c>
      <c r="K46" t="s">
        <v>31</v>
      </c>
      <c r="L46" t="s">
        <v>25</v>
      </c>
      <c r="M46">
        <v>9000</v>
      </c>
      <c r="N46">
        <v>2</v>
      </c>
      <c r="O46">
        <f t="shared" si="15"/>
        <v>18000</v>
      </c>
    </row>
    <row r="47" spans="1:15">
      <c r="A47">
        <v>1046</v>
      </c>
      <c r="B47" s="8">
        <v>45409</v>
      </c>
      <c r="C47" s="10">
        <f t="shared" si="8"/>
        <v>2024</v>
      </c>
      <c r="D47" s="10">
        <f t="shared" si="9"/>
        <v>4</v>
      </c>
      <c r="E47" s="10" t="str">
        <f t="shared" si="10"/>
        <v>April</v>
      </c>
      <c r="F47" s="10" t="str">
        <f t="shared" si="11"/>
        <v>Q2</v>
      </c>
      <c r="G47" s="10" t="str">
        <f t="shared" si="12"/>
        <v>2024-04</v>
      </c>
      <c r="H47" s="10" t="str">
        <f t="shared" si="13"/>
        <v>Saturday</v>
      </c>
      <c r="I47" s="10" t="str">
        <f t="shared" si="14"/>
        <v>Weekend</v>
      </c>
      <c r="J47" t="s">
        <v>20</v>
      </c>
      <c r="K47" t="s">
        <v>33</v>
      </c>
      <c r="L47" t="s">
        <v>25</v>
      </c>
      <c r="M47">
        <v>12500</v>
      </c>
      <c r="N47">
        <v>1</v>
      </c>
      <c r="O47">
        <f t="shared" si="15"/>
        <v>12500</v>
      </c>
    </row>
    <row r="48" spans="1:15">
      <c r="A48">
        <v>1047</v>
      </c>
      <c r="B48" s="8">
        <v>45411</v>
      </c>
      <c r="C48" s="10">
        <f t="shared" si="8"/>
        <v>2024</v>
      </c>
      <c r="D48" s="10">
        <f t="shared" si="9"/>
        <v>4</v>
      </c>
      <c r="E48" s="10" t="str">
        <f t="shared" si="10"/>
        <v>April</v>
      </c>
      <c r="F48" s="10" t="str">
        <f t="shared" si="11"/>
        <v>Q2</v>
      </c>
      <c r="G48" s="10" t="str">
        <f t="shared" si="12"/>
        <v>2024-04</v>
      </c>
      <c r="H48" s="10" t="str">
        <f t="shared" si="13"/>
        <v>Monday</v>
      </c>
      <c r="I48" s="10" t="str">
        <f t="shared" si="14"/>
        <v>Weekday</v>
      </c>
      <c r="J48" t="s">
        <v>19</v>
      </c>
      <c r="K48" t="s">
        <v>32</v>
      </c>
      <c r="L48" t="s">
        <v>26</v>
      </c>
      <c r="M48">
        <v>15500</v>
      </c>
      <c r="N48">
        <v>1</v>
      </c>
      <c r="O48">
        <f t="shared" si="15"/>
        <v>15500</v>
      </c>
    </row>
    <row r="49" spans="1:15">
      <c r="A49">
        <v>1048</v>
      </c>
      <c r="B49" s="8">
        <v>45296</v>
      </c>
      <c r="C49" s="10">
        <f t="shared" si="8"/>
        <v>2024</v>
      </c>
      <c r="D49" s="10">
        <f t="shared" si="9"/>
        <v>1</v>
      </c>
      <c r="E49" s="10" t="str">
        <f t="shared" si="10"/>
        <v>January</v>
      </c>
      <c r="F49" s="10" t="str">
        <f t="shared" si="11"/>
        <v>Q1</v>
      </c>
      <c r="G49" s="10" t="str">
        <f t="shared" si="12"/>
        <v>2024-01</v>
      </c>
      <c r="H49" s="10" t="str">
        <f t="shared" si="13"/>
        <v>Friday</v>
      </c>
      <c r="I49" s="10" t="str">
        <f t="shared" si="14"/>
        <v>Weekday</v>
      </c>
      <c r="J49" t="s">
        <v>18</v>
      </c>
      <c r="K49" t="s">
        <v>30</v>
      </c>
      <c r="L49" t="s">
        <v>24</v>
      </c>
      <c r="M49">
        <v>19800</v>
      </c>
      <c r="N49">
        <v>1</v>
      </c>
      <c r="O49">
        <f t="shared" si="15"/>
        <v>19800</v>
      </c>
    </row>
    <row r="50" spans="1:15">
      <c r="A50">
        <v>1049</v>
      </c>
      <c r="B50" s="8">
        <v>45356</v>
      </c>
      <c r="C50" s="10">
        <f t="shared" si="8"/>
        <v>2024</v>
      </c>
      <c r="D50" s="10">
        <f t="shared" si="9"/>
        <v>3</v>
      </c>
      <c r="E50" s="10" t="str">
        <f t="shared" si="10"/>
        <v>March</v>
      </c>
      <c r="F50" s="10" t="str">
        <f t="shared" si="11"/>
        <v>Q1</v>
      </c>
      <c r="G50" s="10" t="str">
        <f t="shared" si="12"/>
        <v>2024-03</v>
      </c>
      <c r="H50" s="10" t="str">
        <f t="shared" si="13"/>
        <v>Tuesday</v>
      </c>
      <c r="I50" s="10" t="str">
        <f t="shared" si="14"/>
        <v>Weekday</v>
      </c>
      <c r="J50" t="s">
        <v>17</v>
      </c>
      <c r="K50" t="s">
        <v>29</v>
      </c>
      <c r="L50" t="s">
        <v>24</v>
      </c>
      <c r="M50">
        <v>26500</v>
      </c>
      <c r="N50">
        <v>1</v>
      </c>
      <c r="O50">
        <f t="shared" si="15"/>
        <v>26500</v>
      </c>
    </row>
    <row r="51" spans="1:15">
      <c r="A51">
        <v>1050</v>
      </c>
      <c r="B51" s="8">
        <v>45417</v>
      </c>
      <c r="C51" s="10">
        <f t="shared" si="8"/>
        <v>2024</v>
      </c>
      <c r="D51" s="10">
        <f t="shared" si="9"/>
        <v>5</v>
      </c>
      <c r="E51" s="10" t="str">
        <f t="shared" si="10"/>
        <v>May</v>
      </c>
      <c r="F51" s="10" t="str">
        <f t="shared" si="11"/>
        <v>Q2</v>
      </c>
      <c r="G51" s="10" t="str">
        <f t="shared" si="12"/>
        <v>2024-05</v>
      </c>
      <c r="H51" s="10" t="str">
        <f t="shared" si="13"/>
        <v>Sunday</v>
      </c>
      <c r="I51" s="10" t="str">
        <f t="shared" si="14"/>
        <v>Weekend</v>
      </c>
      <c r="J51" t="s">
        <v>20</v>
      </c>
      <c r="K51" t="s">
        <v>28</v>
      </c>
      <c r="L51" t="s">
        <v>24</v>
      </c>
      <c r="M51">
        <v>64500</v>
      </c>
      <c r="N51">
        <v>1</v>
      </c>
      <c r="O51">
        <f t="shared" si="15"/>
        <v>64500</v>
      </c>
    </row>
    <row r="52" spans="1:15">
      <c r="A52">
        <v>1051</v>
      </c>
      <c r="B52" s="8">
        <v>45478</v>
      </c>
      <c r="C52" s="10">
        <f t="shared" si="8"/>
        <v>2024</v>
      </c>
      <c r="D52" s="10">
        <f t="shared" si="9"/>
        <v>7</v>
      </c>
      <c r="E52" s="10" t="str">
        <f t="shared" si="10"/>
        <v>July</v>
      </c>
      <c r="F52" s="10" t="str">
        <f t="shared" si="11"/>
        <v>Q3</v>
      </c>
      <c r="G52" s="10" t="str">
        <f t="shared" si="12"/>
        <v>2024-07</v>
      </c>
      <c r="H52" s="10" t="str">
        <f t="shared" si="13"/>
        <v>Friday</v>
      </c>
      <c r="I52" s="10" t="str">
        <f t="shared" si="14"/>
        <v>Weekday</v>
      </c>
      <c r="J52" t="s">
        <v>19</v>
      </c>
      <c r="K52" t="s">
        <v>31</v>
      </c>
      <c r="L52" t="s">
        <v>25</v>
      </c>
      <c r="M52">
        <v>8400</v>
      </c>
      <c r="N52">
        <v>2</v>
      </c>
      <c r="O52">
        <f t="shared" si="15"/>
        <v>16800</v>
      </c>
    </row>
    <row r="53" spans="1:15">
      <c r="A53">
        <v>1052</v>
      </c>
      <c r="B53" s="8">
        <v>45540</v>
      </c>
      <c r="C53" s="10">
        <f t="shared" si="8"/>
        <v>2024</v>
      </c>
      <c r="D53" s="10">
        <f t="shared" si="9"/>
        <v>9</v>
      </c>
      <c r="E53" s="10" t="str">
        <f t="shared" si="10"/>
        <v>September</v>
      </c>
      <c r="F53" s="10" t="str">
        <f t="shared" si="11"/>
        <v>Q3</v>
      </c>
      <c r="G53" s="10" t="str">
        <f t="shared" si="12"/>
        <v>2024-09</v>
      </c>
      <c r="H53" s="10" t="str">
        <f t="shared" si="13"/>
        <v>Thursday</v>
      </c>
      <c r="I53" s="10" t="str">
        <f t="shared" si="14"/>
        <v>Weekday</v>
      </c>
      <c r="J53" t="s">
        <v>18</v>
      </c>
      <c r="K53" t="s">
        <v>33</v>
      </c>
      <c r="L53" t="s">
        <v>25</v>
      </c>
      <c r="M53">
        <v>13200</v>
      </c>
      <c r="N53">
        <v>1</v>
      </c>
      <c r="O53">
        <f t="shared" si="15"/>
        <v>13200</v>
      </c>
    </row>
    <row r="54" spans="1:15">
      <c r="A54">
        <v>1053</v>
      </c>
      <c r="B54" s="8">
        <v>45601</v>
      </c>
      <c r="C54" s="10">
        <f t="shared" si="8"/>
        <v>2024</v>
      </c>
      <c r="D54" s="10">
        <f t="shared" si="9"/>
        <v>11</v>
      </c>
      <c r="E54" s="10" t="str">
        <f t="shared" si="10"/>
        <v>November</v>
      </c>
      <c r="F54" s="10" t="str">
        <f t="shared" si="11"/>
        <v>Q4</v>
      </c>
      <c r="G54" s="10" t="str">
        <f t="shared" si="12"/>
        <v>2024-11</v>
      </c>
      <c r="H54" s="10" t="str">
        <f t="shared" si="13"/>
        <v>Tuesday</v>
      </c>
      <c r="I54" s="10" t="str">
        <f t="shared" si="14"/>
        <v>Weekday</v>
      </c>
      <c r="J54" t="s">
        <v>17</v>
      </c>
      <c r="K54" t="s">
        <v>32</v>
      </c>
      <c r="L54" t="s">
        <v>26</v>
      </c>
      <c r="M54">
        <v>17000</v>
      </c>
      <c r="N54">
        <v>1</v>
      </c>
      <c r="O54">
        <f t="shared" si="15"/>
        <v>17000</v>
      </c>
    </row>
    <row r="55" spans="1:15">
      <c r="A55">
        <v>1054</v>
      </c>
      <c r="B55" s="8">
        <v>45425</v>
      </c>
      <c r="C55" s="10">
        <f t="shared" si="8"/>
        <v>2024</v>
      </c>
      <c r="D55" s="10">
        <f t="shared" si="9"/>
        <v>5</v>
      </c>
      <c r="E55" s="10" t="str">
        <f t="shared" si="10"/>
        <v>May</v>
      </c>
      <c r="F55" s="10" t="str">
        <f t="shared" si="11"/>
        <v>Q2</v>
      </c>
      <c r="G55" s="10" t="str">
        <f t="shared" si="12"/>
        <v>2024-05</v>
      </c>
      <c r="H55" s="10" t="str">
        <f t="shared" si="13"/>
        <v>Monday</v>
      </c>
      <c r="I55" s="10" t="str">
        <f t="shared" si="14"/>
        <v>Weekday</v>
      </c>
      <c r="J55" t="s">
        <v>20</v>
      </c>
      <c r="K55" t="s">
        <v>30</v>
      </c>
      <c r="L55" t="s">
        <v>24</v>
      </c>
      <c r="M55">
        <v>22500</v>
      </c>
      <c r="N55">
        <v>1</v>
      </c>
      <c r="O55">
        <f t="shared" si="15"/>
        <v>22500</v>
      </c>
    </row>
    <row r="56" spans="1:15">
      <c r="A56">
        <v>1055</v>
      </c>
      <c r="B56" s="8">
        <v>45427</v>
      </c>
      <c r="C56" s="10">
        <f t="shared" si="8"/>
        <v>2024</v>
      </c>
      <c r="D56" s="10">
        <f t="shared" si="9"/>
        <v>5</v>
      </c>
      <c r="E56" s="10" t="str">
        <f t="shared" si="10"/>
        <v>May</v>
      </c>
      <c r="F56" s="10" t="str">
        <f t="shared" si="11"/>
        <v>Q2</v>
      </c>
      <c r="G56" s="10" t="str">
        <f t="shared" si="12"/>
        <v>2024-05</v>
      </c>
      <c r="H56" s="10" t="str">
        <f t="shared" si="13"/>
        <v>Wednesday</v>
      </c>
      <c r="I56" s="10" t="str">
        <f t="shared" si="14"/>
        <v>Weekday</v>
      </c>
      <c r="J56" t="s">
        <v>19</v>
      </c>
      <c r="K56" t="s">
        <v>29</v>
      </c>
      <c r="L56" t="s">
        <v>24</v>
      </c>
      <c r="M56">
        <v>24000</v>
      </c>
      <c r="N56">
        <v>1</v>
      </c>
      <c r="O56">
        <f t="shared" si="15"/>
        <v>24000</v>
      </c>
    </row>
    <row r="57" spans="1:15">
      <c r="A57">
        <v>1056</v>
      </c>
      <c r="B57" s="8">
        <v>45429</v>
      </c>
      <c r="C57" s="10">
        <f t="shared" si="8"/>
        <v>2024</v>
      </c>
      <c r="D57" s="10">
        <f t="shared" si="9"/>
        <v>5</v>
      </c>
      <c r="E57" s="10" t="str">
        <f t="shared" si="10"/>
        <v>May</v>
      </c>
      <c r="F57" s="10" t="str">
        <f t="shared" si="11"/>
        <v>Q2</v>
      </c>
      <c r="G57" s="10" t="str">
        <f t="shared" si="12"/>
        <v>2024-05</v>
      </c>
      <c r="H57" s="10" t="str">
        <f t="shared" si="13"/>
        <v>Friday</v>
      </c>
      <c r="I57" s="10" t="str">
        <f t="shared" si="14"/>
        <v>Weekday</v>
      </c>
      <c r="J57" t="s">
        <v>18</v>
      </c>
      <c r="K57" t="s">
        <v>28</v>
      </c>
      <c r="L57" t="s">
        <v>24</v>
      </c>
      <c r="M57">
        <v>60000</v>
      </c>
      <c r="N57">
        <v>1</v>
      </c>
      <c r="O57">
        <f t="shared" si="15"/>
        <v>60000</v>
      </c>
    </row>
    <row r="58" spans="1:15">
      <c r="A58">
        <v>1057</v>
      </c>
      <c r="B58" s="8">
        <v>45431</v>
      </c>
      <c r="C58" s="10">
        <f t="shared" si="8"/>
        <v>2024</v>
      </c>
      <c r="D58" s="10">
        <f t="shared" si="9"/>
        <v>5</v>
      </c>
      <c r="E58" s="10" t="str">
        <f t="shared" si="10"/>
        <v>May</v>
      </c>
      <c r="F58" s="10" t="str">
        <f t="shared" si="11"/>
        <v>Q2</v>
      </c>
      <c r="G58" s="10" t="str">
        <f t="shared" si="12"/>
        <v>2024-05</v>
      </c>
      <c r="H58" s="10" t="str">
        <f t="shared" si="13"/>
        <v>Sunday</v>
      </c>
      <c r="I58" s="10" t="str">
        <f t="shared" si="14"/>
        <v>Weekend</v>
      </c>
      <c r="J58" t="s">
        <v>17</v>
      </c>
      <c r="K58" t="s">
        <v>31</v>
      </c>
      <c r="L58" t="s">
        <v>25</v>
      </c>
      <c r="M58">
        <v>9200</v>
      </c>
      <c r="N58">
        <v>2</v>
      </c>
      <c r="O58">
        <f t="shared" si="15"/>
        <v>18400</v>
      </c>
    </row>
    <row r="59" spans="1:15">
      <c r="A59">
        <v>1058</v>
      </c>
      <c r="B59" s="8">
        <v>45433</v>
      </c>
      <c r="C59" s="10">
        <f t="shared" si="8"/>
        <v>2024</v>
      </c>
      <c r="D59" s="10">
        <f t="shared" si="9"/>
        <v>5</v>
      </c>
      <c r="E59" s="10" t="str">
        <f t="shared" si="10"/>
        <v>May</v>
      </c>
      <c r="F59" s="10" t="str">
        <f t="shared" si="11"/>
        <v>Q2</v>
      </c>
      <c r="G59" s="10" t="str">
        <f t="shared" si="12"/>
        <v>2024-05</v>
      </c>
      <c r="H59" s="10" t="str">
        <f t="shared" si="13"/>
        <v>Tuesday</v>
      </c>
      <c r="I59" s="10" t="str">
        <f t="shared" si="14"/>
        <v>Weekday</v>
      </c>
      <c r="J59" t="s">
        <v>20</v>
      </c>
      <c r="K59" t="s">
        <v>33</v>
      </c>
      <c r="L59" t="s">
        <v>25</v>
      </c>
      <c r="M59">
        <v>13800</v>
      </c>
      <c r="N59">
        <v>1</v>
      </c>
      <c r="O59">
        <f t="shared" si="15"/>
        <v>13800</v>
      </c>
    </row>
    <row r="60" spans="1:15">
      <c r="A60">
        <v>1059</v>
      </c>
      <c r="B60" s="8">
        <v>45435</v>
      </c>
      <c r="C60" s="10">
        <f t="shared" si="8"/>
        <v>2024</v>
      </c>
      <c r="D60" s="10">
        <f t="shared" si="9"/>
        <v>5</v>
      </c>
      <c r="E60" s="10" t="str">
        <f t="shared" si="10"/>
        <v>May</v>
      </c>
      <c r="F60" s="10" t="str">
        <f t="shared" si="11"/>
        <v>Q2</v>
      </c>
      <c r="G60" s="10" t="str">
        <f t="shared" si="12"/>
        <v>2024-05</v>
      </c>
      <c r="H60" s="10" t="str">
        <f t="shared" si="13"/>
        <v>Thursday</v>
      </c>
      <c r="I60" s="10" t="str">
        <f t="shared" si="14"/>
        <v>Weekday</v>
      </c>
      <c r="J60" t="s">
        <v>19</v>
      </c>
      <c r="K60" t="s">
        <v>32</v>
      </c>
      <c r="L60" t="s">
        <v>26</v>
      </c>
      <c r="M60">
        <v>15800</v>
      </c>
      <c r="N60">
        <v>1</v>
      </c>
      <c r="O60">
        <f t="shared" si="15"/>
        <v>15800</v>
      </c>
    </row>
    <row r="61" spans="1:15">
      <c r="A61">
        <v>1060</v>
      </c>
      <c r="B61" s="8">
        <v>45437</v>
      </c>
      <c r="C61" s="10">
        <f t="shared" si="8"/>
        <v>2024</v>
      </c>
      <c r="D61" s="10">
        <f t="shared" si="9"/>
        <v>5</v>
      </c>
      <c r="E61" s="10" t="str">
        <f t="shared" si="10"/>
        <v>May</v>
      </c>
      <c r="F61" s="10" t="str">
        <f t="shared" si="11"/>
        <v>Q2</v>
      </c>
      <c r="G61" s="10" t="str">
        <f t="shared" si="12"/>
        <v>2024-05</v>
      </c>
      <c r="H61" s="10" t="str">
        <f t="shared" si="13"/>
        <v>Saturday</v>
      </c>
      <c r="I61" s="10" t="str">
        <f t="shared" si="14"/>
        <v>Weekend</v>
      </c>
      <c r="J61" t="s">
        <v>18</v>
      </c>
      <c r="K61" t="s">
        <v>30</v>
      </c>
      <c r="L61" t="s">
        <v>24</v>
      </c>
      <c r="M61">
        <v>21000</v>
      </c>
      <c r="N61">
        <v>1</v>
      </c>
      <c r="O61">
        <f t="shared" si="15"/>
        <v>21000</v>
      </c>
    </row>
    <row r="62" spans="1:15">
      <c r="A62">
        <v>1061</v>
      </c>
      <c r="B62" s="8">
        <v>45439</v>
      </c>
      <c r="C62" s="10">
        <f t="shared" si="8"/>
        <v>2024</v>
      </c>
      <c r="D62" s="10">
        <f t="shared" si="9"/>
        <v>5</v>
      </c>
      <c r="E62" s="10" t="str">
        <f t="shared" si="10"/>
        <v>May</v>
      </c>
      <c r="F62" s="10" t="str">
        <f t="shared" si="11"/>
        <v>Q2</v>
      </c>
      <c r="G62" s="10" t="str">
        <f t="shared" si="12"/>
        <v>2024-05</v>
      </c>
      <c r="H62" s="10" t="str">
        <f t="shared" si="13"/>
        <v>Monday</v>
      </c>
      <c r="I62" s="10" t="str">
        <f t="shared" si="14"/>
        <v>Weekday</v>
      </c>
      <c r="J62" t="s">
        <v>17</v>
      </c>
      <c r="K62" t="s">
        <v>29</v>
      </c>
      <c r="L62" t="s">
        <v>24</v>
      </c>
      <c r="M62">
        <v>27500</v>
      </c>
      <c r="N62">
        <v>1</v>
      </c>
      <c r="O62">
        <f t="shared" si="15"/>
        <v>27500</v>
      </c>
    </row>
    <row r="63" spans="1:15">
      <c r="A63">
        <v>1062</v>
      </c>
      <c r="B63" s="8">
        <v>45441</v>
      </c>
      <c r="C63" s="10">
        <f t="shared" si="8"/>
        <v>2024</v>
      </c>
      <c r="D63" s="10">
        <f t="shared" si="9"/>
        <v>5</v>
      </c>
      <c r="E63" s="10" t="str">
        <f t="shared" si="10"/>
        <v>May</v>
      </c>
      <c r="F63" s="10" t="str">
        <f t="shared" si="11"/>
        <v>Q2</v>
      </c>
      <c r="G63" s="10" t="str">
        <f t="shared" si="12"/>
        <v>2024-05</v>
      </c>
      <c r="H63" s="10" t="str">
        <f t="shared" si="13"/>
        <v>Wednesday</v>
      </c>
      <c r="I63" s="10" t="str">
        <f t="shared" si="14"/>
        <v>Weekday</v>
      </c>
      <c r="J63" t="s">
        <v>20</v>
      </c>
      <c r="K63" t="s">
        <v>28</v>
      </c>
      <c r="L63" t="s">
        <v>24</v>
      </c>
      <c r="M63">
        <v>65500</v>
      </c>
      <c r="N63">
        <v>1</v>
      </c>
      <c r="O63">
        <f t="shared" si="15"/>
        <v>65500</v>
      </c>
    </row>
    <row r="64" spans="1:15">
      <c r="A64">
        <v>1063</v>
      </c>
      <c r="B64" s="8">
        <v>45443</v>
      </c>
      <c r="C64" s="10">
        <f t="shared" si="8"/>
        <v>2024</v>
      </c>
      <c r="D64" s="10">
        <f t="shared" si="9"/>
        <v>5</v>
      </c>
      <c r="E64" s="10" t="str">
        <f t="shared" si="10"/>
        <v>May</v>
      </c>
      <c r="F64" s="10" t="str">
        <f t="shared" si="11"/>
        <v>Q2</v>
      </c>
      <c r="G64" s="10" t="str">
        <f t="shared" si="12"/>
        <v>2024-05</v>
      </c>
      <c r="H64" s="10" t="str">
        <f t="shared" si="13"/>
        <v>Friday</v>
      </c>
      <c r="I64" s="10" t="str">
        <f t="shared" si="14"/>
        <v>Weekday</v>
      </c>
      <c r="J64" t="s">
        <v>19</v>
      </c>
      <c r="K64" t="s">
        <v>31</v>
      </c>
      <c r="L64" t="s">
        <v>25</v>
      </c>
      <c r="M64">
        <v>8600</v>
      </c>
      <c r="N64">
        <v>2</v>
      </c>
      <c r="O64">
        <f t="shared" si="15"/>
        <v>17200</v>
      </c>
    </row>
    <row r="65" spans="1:15">
      <c r="A65">
        <v>1064</v>
      </c>
      <c r="B65" s="8">
        <v>45328</v>
      </c>
      <c r="C65" s="10">
        <f t="shared" si="8"/>
        <v>2024</v>
      </c>
      <c r="D65" s="10">
        <f t="shared" si="9"/>
        <v>2</v>
      </c>
      <c r="E65" s="10" t="str">
        <f t="shared" si="10"/>
        <v>February</v>
      </c>
      <c r="F65" s="10" t="str">
        <f t="shared" si="11"/>
        <v>Q1</v>
      </c>
      <c r="G65" s="10" t="str">
        <f t="shared" si="12"/>
        <v>2024-02</v>
      </c>
      <c r="H65" s="10" t="str">
        <f t="shared" si="13"/>
        <v>Tuesday</v>
      </c>
      <c r="I65" s="10" t="str">
        <f t="shared" si="14"/>
        <v>Weekday</v>
      </c>
      <c r="J65" t="s">
        <v>18</v>
      </c>
      <c r="K65" t="s">
        <v>33</v>
      </c>
      <c r="L65" t="s">
        <v>25</v>
      </c>
      <c r="M65">
        <v>14500</v>
      </c>
      <c r="N65">
        <v>1</v>
      </c>
      <c r="O65">
        <f t="shared" si="15"/>
        <v>14500</v>
      </c>
    </row>
    <row r="66" spans="1:15">
      <c r="A66">
        <v>1065</v>
      </c>
      <c r="B66" s="8">
        <v>45388</v>
      </c>
      <c r="C66" s="10">
        <f t="shared" ref="C66:C97" si="16">YEAR(B66)</f>
        <v>2024</v>
      </c>
      <c r="D66" s="10">
        <f t="shared" ref="D66:D97" si="17">MONTH(B66)</f>
        <v>4</v>
      </c>
      <c r="E66" s="10" t="str">
        <f t="shared" ref="E66:E97" si="18">TEXT(B66,"mmmm")</f>
        <v>April</v>
      </c>
      <c r="F66" s="10" t="str">
        <f t="shared" ref="F66:F97" si="19">"Q"&amp;ROUNDUP(MONTH(B66)/3,0)</f>
        <v>Q2</v>
      </c>
      <c r="G66" s="10" t="str">
        <f t="shared" ref="G66:G97" si="20">TEXT(B66,"yyyy-mm")</f>
        <v>2024-04</v>
      </c>
      <c r="H66" s="10" t="str">
        <f t="shared" ref="H66:H97" si="21">TEXT(B66,"dddd")</f>
        <v>Saturday</v>
      </c>
      <c r="I66" s="10" t="str">
        <f t="shared" ref="I66:I97" si="22">IF(OR(H66="Saturday",H66="Sunday"),"Weekend","Weekday")</f>
        <v>Weekend</v>
      </c>
      <c r="J66" t="s">
        <v>17</v>
      </c>
      <c r="K66" t="s">
        <v>32</v>
      </c>
      <c r="L66" t="s">
        <v>26</v>
      </c>
      <c r="M66">
        <v>17500</v>
      </c>
      <c r="N66">
        <v>1</v>
      </c>
      <c r="O66">
        <f t="shared" ref="O66:O97" si="23" xml:space="preserve"> M66*N66</f>
        <v>17500</v>
      </c>
    </row>
    <row r="67" spans="1:15">
      <c r="A67">
        <v>1066</v>
      </c>
      <c r="B67" s="8">
        <v>45449</v>
      </c>
      <c r="C67" s="10">
        <f t="shared" si="16"/>
        <v>2024</v>
      </c>
      <c r="D67" s="10">
        <f t="shared" si="17"/>
        <v>6</v>
      </c>
      <c r="E67" s="10" t="str">
        <f t="shared" si="18"/>
        <v>June</v>
      </c>
      <c r="F67" s="10" t="str">
        <f t="shared" si="19"/>
        <v>Q2</v>
      </c>
      <c r="G67" s="10" t="str">
        <f t="shared" si="20"/>
        <v>2024-06</v>
      </c>
      <c r="H67" s="10" t="str">
        <f t="shared" si="21"/>
        <v>Thursday</v>
      </c>
      <c r="I67" s="10" t="str">
        <f t="shared" si="22"/>
        <v>Weekday</v>
      </c>
      <c r="J67" t="s">
        <v>20</v>
      </c>
      <c r="K67" t="s">
        <v>30</v>
      </c>
      <c r="L67" t="s">
        <v>24</v>
      </c>
      <c r="M67">
        <v>23000</v>
      </c>
      <c r="N67">
        <v>1</v>
      </c>
      <c r="O67">
        <f t="shared" si="23"/>
        <v>23000</v>
      </c>
    </row>
    <row r="68" spans="1:15">
      <c r="A68">
        <v>1067</v>
      </c>
      <c r="B68" s="8">
        <v>45510</v>
      </c>
      <c r="C68" s="10">
        <f t="shared" si="16"/>
        <v>2024</v>
      </c>
      <c r="D68" s="10">
        <f t="shared" si="17"/>
        <v>8</v>
      </c>
      <c r="E68" s="10" t="str">
        <f t="shared" si="18"/>
        <v>August</v>
      </c>
      <c r="F68" s="10" t="str">
        <f t="shared" si="19"/>
        <v>Q3</v>
      </c>
      <c r="G68" s="10" t="str">
        <f t="shared" si="20"/>
        <v>2024-08</v>
      </c>
      <c r="H68" s="10" t="str">
        <f t="shared" si="21"/>
        <v>Tuesday</v>
      </c>
      <c r="I68" s="10" t="str">
        <f t="shared" si="22"/>
        <v>Weekday</v>
      </c>
      <c r="J68" t="s">
        <v>19</v>
      </c>
      <c r="K68" t="s">
        <v>29</v>
      </c>
      <c r="L68" t="s">
        <v>24</v>
      </c>
      <c r="M68">
        <v>24500</v>
      </c>
      <c r="N68">
        <v>1</v>
      </c>
      <c r="O68">
        <f t="shared" si="23"/>
        <v>24500</v>
      </c>
    </row>
    <row r="69" spans="1:15">
      <c r="A69">
        <v>1068</v>
      </c>
      <c r="B69" s="8">
        <v>45571</v>
      </c>
      <c r="C69" s="10">
        <f t="shared" si="16"/>
        <v>2024</v>
      </c>
      <c r="D69" s="10">
        <f t="shared" si="17"/>
        <v>10</v>
      </c>
      <c r="E69" s="10" t="str">
        <f t="shared" si="18"/>
        <v>October</v>
      </c>
      <c r="F69" s="10" t="str">
        <f t="shared" si="19"/>
        <v>Q4</v>
      </c>
      <c r="G69" s="10" t="str">
        <f t="shared" si="20"/>
        <v>2024-10</v>
      </c>
      <c r="H69" s="10" t="str">
        <f t="shared" si="21"/>
        <v>Sunday</v>
      </c>
      <c r="I69" s="10" t="str">
        <f t="shared" si="22"/>
        <v>Weekend</v>
      </c>
      <c r="J69" t="s">
        <v>18</v>
      </c>
      <c r="K69" t="s">
        <v>28</v>
      </c>
      <c r="L69" t="s">
        <v>24</v>
      </c>
      <c r="M69">
        <v>61000</v>
      </c>
      <c r="N69">
        <v>1</v>
      </c>
      <c r="O69">
        <f t="shared" si="23"/>
        <v>61000</v>
      </c>
    </row>
    <row r="70" spans="1:15">
      <c r="A70">
        <v>1069</v>
      </c>
      <c r="B70" s="8">
        <v>45632</v>
      </c>
      <c r="C70" s="10">
        <f t="shared" si="16"/>
        <v>2024</v>
      </c>
      <c r="D70" s="10">
        <f t="shared" si="17"/>
        <v>12</v>
      </c>
      <c r="E70" s="10" t="str">
        <f t="shared" si="18"/>
        <v>December</v>
      </c>
      <c r="F70" s="10" t="str">
        <f t="shared" si="19"/>
        <v>Q4</v>
      </c>
      <c r="G70" s="10" t="str">
        <f t="shared" si="20"/>
        <v>2024-12</v>
      </c>
      <c r="H70" s="10" t="str">
        <f t="shared" si="21"/>
        <v>Friday</v>
      </c>
      <c r="I70" s="10" t="str">
        <f t="shared" si="22"/>
        <v>Weekday</v>
      </c>
      <c r="J70" t="s">
        <v>17</v>
      </c>
      <c r="K70" t="s">
        <v>31</v>
      </c>
      <c r="L70" t="s">
        <v>25</v>
      </c>
      <c r="M70">
        <v>9400</v>
      </c>
      <c r="N70">
        <v>2</v>
      </c>
      <c r="O70">
        <f t="shared" si="23"/>
        <v>18800</v>
      </c>
    </row>
    <row r="71" spans="1:15">
      <c r="A71">
        <v>1070</v>
      </c>
      <c r="B71" s="8">
        <v>45457</v>
      </c>
      <c r="C71" s="10">
        <f t="shared" si="16"/>
        <v>2024</v>
      </c>
      <c r="D71" s="10">
        <f t="shared" si="17"/>
        <v>6</v>
      </c>
      <c r="E71" s="10" t="str">
        <f t="shared" si="18"/>
        <v>June</v>
      </c>
      <c r="F71" s="10" t="str">
        <f t="shared" si="19"/>
        <v>Q2</v>
      </c>
      <c r="G71" s="10" t="str">
        <f t="shared" si="20"/>
        <v>2024-06</v>
      </c>
      <c r="H71" s="10" t="str">
        <f t="shared" si="21"/>
        <v>Friday</v>
      </c>
      <c r="I71" s="10" t="str">
        <f t="shared" si="22"/>
        <v>Weekday</v>
      </c>
      <c r="J71" t="s">
        <v>20</v>
      </c>
      <c r="K71" t="s">
        <v>33</v>
      </c>
      <c r="L71" t="s">
        <v>25</v>
      </c>
      <c r="M71">
        <v>14200</v>
      </c>
      <c r="N71">
        <v>1</v>
      </c>
      <c r="O71">
        <f t="shared" si="23"/>
        <v>14200</v>
      </c>
    </row>
    <row r="72" spans="1:15">
      <c r="A72">
        <v>1071</v>
      </c>
      <c r="B72" s="8">
        <v>45459</v>
      </c>
      <c r="C72" s="10">
        <f t="shared" si="16"/>
        <v>2024</v>
      </c>
      <c r="D72" s="10">
        <f t="shared" si="17"/>
        <v>6</v>
      </c>
      <c r="E72" s="10" t="str">
        <f t="shared" si="18"/>
        <v>June</v>
      </c>
      <c r="F72" s="10" t="str">
        <f t="shared" si="19"/>
        <v>Q2</v>
      </c>
      <c r="G72" s="10" t="str">
        <f t="shared" si="20"/>
        <v>2024-06</v>
      </c>
      <c r="H72" s="10" t="str">
        <f t="shared" si="21"/>
        <v>Sunday</v>
      </c>
      <c r="I72" s="10" t="str">
        <f t="shared" si="22"/>
        <v>Weekend</v>
      </c>
      <c r="J72" t="s">
        <v>19</v>
      </c>
      <c r="K72" t="s">
        <v>32</v>
      </c>
      <c r="L72" t="s">
        <v>26</v>
      </c>
      <c r="M72">
        <v>16500</v>
      </c>
      <c r="N72">
        <v>1</v>
      </c>
      <c r="O72">
        <f t="shared" si="23"/>
        <v>16500</v>
      </c>
    </row>
    <row r="73" spans="1:15">
      <c r="A73">
        <v>1072</v>
      </c>
      <c r="B73" s="8">
        <v>45461</v>
      </c>
      <c r="C73" s="10">
        <f t="shared" si="16"/>
        <v>2024</v>
      </c>
      <c r="D73" s="10">
        <f t="shared" si="17"/>
        <v>6</v>
      </c>
      <c r="E73" s="10" t="str">
        <f t="shared" si="18"/>
        <v>June</v>
      </c>
      <c r="F73" s="10" t="str">
        <f t="shared" si="19"/>
        <v>Q2</v>
      </c>
      <c r="G73" s="10" t="str">
        <f t="shared" si="20"/>
        <v>2024-06</v>
      </c>
      <c r="H73" s="10" t="str">
        <f t="shared" si="21"/>
        <v>Tuesday</v>
      </c>
      <c r="I73" s="10" t="str">
        <f t="shared" si="22"/>
        <v>Weekday</v>
      </c>
      <c r="J73" t="s">
        <v>18</v>
      </c>
      <c r="K73" t="s">
        <v>30</v>
      </c>
      <c r="L73" t="s">
        <v>24</v>
      </c>
      <c r="M73">
        <v>22000</v>
      </c>
      <c r="N73">
        <v>1</v>
      </c>
      <c r="O73">
        <f t="shared" si="23"/>
        <v>22000</v>
      </c>
    </row>
    <row r="74" spans="1:15">
      <c r="A74">
        <v>1073</v>
      </c>
      <c r="B74" s="8">
        <v>45463</v>
      </c>
      <c r="C74" s="10">
        <f t="shared" si="16"/>
        <v>2024</v>
      </c>
      <c r="D74" s="10">
        <f t="shared" si="17"/>
        <v>6</v>
      </c>
      <c r="E74" s="10" t="str">
        <f t="shared" si="18"/>
        <v>June</v>
      </c>
      <c r="F74" s="10" t="str">
        <f t="shared" si="19"/>
        <v>Q2</v>
      </c>
      <c r="G74" s="10" t="str">
        <f t="shared" si="20"/>
        <v>2024-06</v>
      </c>
      <c r="H74" s="10" t="str">
        <f t="shared" si="21"/>
        <v>Thursday</v>
      </c>
      <c r="I74" s="10" t="str">
        <f t="shared" si="22"/>
        <v>Weekday</v>
      </c>
      <c r="J74" t="s">
        <v>17</v>
      </c>
      <c r="K74" t="s">
        <v>29</v>
      </c>
      <c r="L74" t="s">
        <v>24</v>
      </c>
      <c r="M74">
        <v>28000</v>
      </c>
      <c r="N74">
        <v>1</v>
      </c>
      <c r="O74">
        <f t="shared" si="23"/>
        <v>28000</v>
      </c>
    </row>
    <row r="75" spans="1:15">
      <c r="A75">
        <v>1074</v>
      </c>
      <c r="B75" s="8">
        <v>45465</v>
      </c>
      <c r="C75" s="10">
        <f t="shared" si="16"/>
        <v>2024</v>
      </c>
      <c r="D75" s="10">
        <f t="shared" si="17"/>
        <v>6</v>
      </c>
      <c r="E75" s="10" t="str">
        <f t="shared" si="18"/>
        <v>June</v>
      </c>
      <c r="F75" s="10" t="str">
        <f t="shared" si="19"/>
        <v>Q2</v>
      </c>
      <c r="G75" s="10" t="str">
        <f t="shared" si="20"/>
        <v>2024-06</v>
      </c>
      <c r="H75" s="10" t="str">
        <f t="shared" si="21"/>
        <v>Saturday</v>
      </c>
      <c r="I75" s="10" t="str">
        <f t="shared" si="22"/>
        <v>Weekend</v>
      </c>
      <c r="J75" t="s">
        <v>20</v>
      </c>
      <c r="K75" t="s">
        <v>28</v>
      </c>
      <c r="L75" t="s">
        <v>24</v>
      </c>
      <c r="M75">
        <v>67000</v>
      </c>
      <c r="N75">
        <v>1</v>
      </c>
      <c r="O75">
        <f t="shared" si="23"/>
        <v>67000</v>
      </c>
    </row>
    <row r="76" spans="1:15">
      <c r="A76">
        <v>1075</v>
      </c>
      <c r="B76" s="8">
        <v>45467</v>
      </c>
      <c r="C76" s="10">
        <f t="shared" si="16"/>
        <v>2024</v>
      </c>
      <c r="D76" s="10">
        <f t="shared" si="17"/>
        <v>6</v>
      </c>
      <c r="E76" s="10" t="str">
        <f t="shared" si="18"/>
        <v>June</v>
      </c>
      <c r="F76" s="10" t="str">
        <f t="shared" si="19"/>
        <v>Q2</v>
      </c>
      <c r="G76" s="10" t="str">
        <f t="shared" si="20"/>
        <v>2024-06</v>
      </c>
      <c r="H76" s="10" t="str">
        <f t="shared" si="21"/>
        <v>Monday</v>
      </c>
      <c r="I76" s="10" t="str">
        <f t="shared" si="22"/>
        <v>Weekday</v>
      </c>
      <c r="J76" t="s">
        <v>19</v>
      </c>
      <c r="K76" t="s">
        <v>31</v>
      </c>
      <c r="L76" t="s">
        <v>25</v>
      </c>
      <c r="M76">
        <v>8800</v>
      </c>
      <c r="N76">
        <v>2</v>
      </c>
      <c r="O76">
        <f t="shared" si="23"/>
        <v>17600</v>
      </c>
    </row>
    <row r="77" spans="1:15">
      <c r="A77">
        <v>1076</v>
      </c>
      <c r="B77" s="8">
        <v>45469</v>
      </c>
      <c r="C77" s="10">
        <f t="shared" si="16"/>
        <v>2024</v>
      </c>
      <c r="D77" s="10">
        <f t="shared" si="17"/>
        <v>6</v>
      </c>
      <c r="E77" s="10" t="str">
        <f t="shared" si="18"/>
        <v>June</v>
      </c>
      <c r="F77" s="10" t="str">
        <f t="shared" si="19"/>
        <v>Q2</v>
      </c>
      <c r="G77" s="10" t="str">
        <f t="shared" si="20"/>
        <v>2024-06</v>
      </c>
      <c r="H77" s="10" t="str">
        <f t="shared" si="21"/>
        <v>Wednesday</v>
      </c>
      <c r="I77" s="10" t="str">
        <f t="shared" si="22"/>
        <v>Weekday</v>
      </c>
      <c r="J77" t="s">
        <v>18</v>
      </c>
      <c r="K77" t="s">
        <v>33</v>
      </c>
      <c r="L77" t="s">
        <v>25</v>
      </c>
      <c r="M77">
        <v>15000</v>
      </c>
      <c r="N77">
        <v>1</v>
      </c>
      <c r="O77">
        <f t="shared" si="23"/>
        <v>15000</v>
      </c>
    </row>
    <row r="78" spans="1:15">
      <c r="A78">
        <v>1077</v>
      </c>
      <c r="B78" s="8">
        <v>45471</v>
      </c>
      <c r="C78" s="10">
        <f t="shared" si="16"/>
        <v>2024</v>
      </c>
      <c r="D78" s="10">
        <f t="shared" si="17"/>
        <v>6</v>
      </c>
      <c r="E78" s="10" t="str">
        <f t="shared" si="18"/>
        <v>June</v>
      </c>
      <c r="F78" s="10" t="str">
        <f t="shared" si="19"/>
        <v>Q2</v>
      </c>
      <c r="G78" s="10" t="str">
        <f t="shared" si="20"/>
        <v>2024-06</v>
      </c>
      <c r="H78" s="10" t="str">
        <f t="shared" si="21"/>
        <v>Friday</v>
      </c>
      <c r="I78" s="10" t="str">
        <f t="shared" si="22"/>
        <v>Weekday</v>
      </c>
      <c r="J78" t="s">
        <v>17</v>
      </c>
      <c r="K78" t="s">
        <v>32</v>
      </c>
      <c r="L78" t="s">
        <v>26</v>
      </c>
      <c r="M78">
        <v>18000</v>
      </c>
      <c r="N78">
        <v>1</v>
      </c>
      <c r="O78">
        <f t="shared" si="23"/>
        <v>18000</v>
      </c>
    </row>
    <row r="79" spans="1:15">
      <c r="A79">
        <v>1078</v>
      </c>
      <c r="B79" s="8">
        <v>45473</v>
      </c>
      <c r="C79" s="10">
        <f t="shared" si="16"/>
        <v>2024</v>
      </c>
      <c r="D79" s="10">
        <f t="shared" si="17"/>
        <v>6</v>
      </c>
      <c r="E79" s="10" t="str">
        <f t="shared" si="18"/>
        <v>June</v>
      </c>
      <c r="F79" s="10" t="str">
        <f t="shared" si="19"/>
        <v>Q2</v>
      </c>
      <c r="G79" s="10" t="str">
        <f t="shared" si="20"/>
        <v>2024-06</v>
      </c>
      <c r="H79" s="10" t="str">
        <f t="shared" si="21"/>
        <v>Sunday</v>
      </c>
      <c r="I79" s="10" t="str">
        <f t="shared" si="22"/>
        <v>Weekend</v>
      </c>
      <c r="J79" t="s">
        <v>20</v>
      </c>
      <c r="K79" t="s">
        <v>30</v>
      </c>
      <c r="L79" t="s">
        <v>24</v>
      </c>
      <c r="M79">
        <v>23500</v>
      </c>
      <c r="N79">
        <v>1</v>
      </c>
      <c r="O79">
        <f t="shared" si="23"/>
        <v>23500</v>
      </c>
    </row>
    <row r="80" spans="1:15">
      <c r="A80">
        <v>1079</v>
      </c>
      <c r="B80" s="8">
        <v>45329</v>
      </c>
      <c r="C80" s="10">
        <f t="shared" si="16"/>
        <v>2024</v>
      </c>
      <c r="D80" s="10">
        <f t="shared" si="17"/>
        <v>2</v>
      </c>
      <c r="E80" s="10" t="str">
        <f t="shared" si="18"/>
        <v>February</v>
      </c>
      <c r="F80" s="10" t="str">
        <f t="shared" si="19"/>
        <v>Q1</v>
      </c>
      <c r="G80" s="10" t="str">
        <f t="shared" si="20"/>
        <v>2024-02</v>
      </c>
      <c r="H80" s="10" t="str">
        <f t="shared" si="21"/>
        <v>Wednesday</v>
      </c>
      <c r="I80" s="10" t="str">
        <f t="shared" si="22"/>
        <v>Weekday</v>
      </c>
      <c r="J80" t="s">
        <v>19</v>
      </c>
      <c r="K80" t="s">
        <v>29</v>
      </c>
      <c r="L80" t="s">
        <v>24</v>
      </c>
      <c r="M80">
        <v>25000</v>
      </c>
      <c r="N80">
        <v>1</v>
      </c>
      <c r="O80">
        <f t="shared" si="23"/>
        <v>25000</v>
      </c>
    </row>
    <row r="81" spans="1:15">
      <c r="A81">
        <v>1080</v>
      </c>
      <c r="B81" s="8">
        <v>45389</v>
      </c>
      <c r="C81" s="10">
        <f t="shared" si="16"/>
        <v>2024</v>
      </c>
      <c r="D81" s="10">
        <f t="shared" si="17"/>
        <v>4</v>
      </c>
      <c r="E81" s="10" t="str">
        <f t="shared" si="18"/>
        <v>April</v>
      </c>
      <c r="F81" s="10" t="str">
        <f t="shared" si="19"/>
        <v>Q2</v>
      </c>
      <c r="G81" s="10" t="str">
        <f t="shared" si="20"/>
        <v>2024-04</v>
      </c>
      <c r="H81" s="10" t="str">
        <f t="shared" si="21"/>
        <v>Sunday</v>
      </c>
      <c r="I81" s="10" t="str">
        <f t="shared" si="22"/>
        <v>Weekend</v>
      </c>
      <c r="J81" t="s">
        <v>18</v>
      </c>
      <c r="K81" t="s">
        <v>28</v>
      </c>
      <c r="L81" t="s">
        <v>24</v>
      </c>
      <c r="M81">
        <v>62000</v>
      </c>
      <c r="N81">
        <v>1</v>
      </c>
      <c r="O81">
        <f t="shared" si="23"/>
        <v>62000</v>
      </c>
    </row>
    <row r="82" spans="1:15">
      <c r="A82">
        <v>1081</v>
      </c>
      <c r="B82" s="8">
        <v>45450</v>
      </c>
      <c r="C82" s="10">
        <f t="shared" si="16"/>
        <v>2024</v>
      </c>
      <c r="D82" s="10">
        <f t="shared" si="17"/>
        <v>6</v>
      </c>
      <c r="E82" s="10" t="str">
        <f t="shared" si="18"/>
        <v>June</v>
      </c>
      <c r="F82" s="10" t="str">
        <f t="shared" si="19"/>
        <v>Q2</v>
      </c>
      <c r="G82" s="10" t="str">
        <f t="shared" si="20"/>
        <v>2024-06</v>
      </c>
      <c r="H82" s="10" t="str">
        <f t="shared" si="21"/>
        <v>Friday</v>
      </c>
      <c r="I82" s="10" t="str">
        <f t="shared" si="22"/>
        <v>Weekday</v>
      </c>
      <c r="J82" t="s">
        <v>17</v>
      </c>
      <c r="K82" t="s">
        <v>31</v>
      </c>
      <c r="L82" t="s">
        <v>25</v>
      </c>
      <c r="M82">
        <v>9600</v>
      </c>
      <c r="N82">
        <v>2</v>
      </c>
      <c r="O82">
        <f t="shared" si="23"/>
        <v>19200</v>
      </c>
    </row>
    <row r="83" spans="1:15">
      <c r="A83">
        <v>1082</v>
      </c>
      <c r="B83" s="8">
        <v>45511</v>
      </c>
      <c r="C83" s="10">
        <f t="shared" si="16"/>
        <v>2024</v>
      </c>
      <c r="D83" s="10">
        <f t="shared" si="17"/>
        <v>8</v>
      </c>
      <c r="E83" s="10" t="str">
        <f t="shared" si="18"/>
        <v>August</v>
      </c>
      <c r="F83" s="10" t="str">
        <f t="shared" si="19"/>
        <v>Q3</v>
      </c>
      <c r="G83" s="10" t="str">
        <f t="shared" si="20"/>
        <v>2024-08</v>
      </c>
      <c r="H83" s="10" t="str">
        <f t="shared" si="21"/>
        <v>Wednesday</v>
      </c>
      <c r="I83" s="10" t="str">
        <f t="shared" si="22"/>
        <v>Weekday</v>
      </c>
      <c r="J83" t="s">
        <v>20</v>
      </c>
      <c r="K83" t="s">
        <v>33</v>
      </c>
      <c r="L83" t="s">
        <v>25</v>
      </c>
      <c r="M83">
        <v>14800</v>
      </c>
      <c r="N83">
        <v>1</v>
      </c>
      <c r="O83">
        <f t="shared" si="23"/>
        <v>14800</v>
      </c>
    </row>
    <row r="84" spans="1:15">
      <c r="A84">
        <v>1083</v>
      </c>
      <c r="B84" s="8">
        <v>45572</v>
      </c>
      <c r="C84" s="10">
        <f t="shared" si="16"/>
        <v>2024</v>
      </c>
      <c r="D84" s="10">
        <f t="shared" si="17"/>
        <v>10</v>
      </c>
      <c r="E84" s="10" t="str">
        <f t="shared" si="18"/>
        <v>October</v>
      </c>
      <c r="F84" s="10" t="str">
        <f t="shared" si="19"/>
        <v>Q4</v>
      </c>
      <c r="G84" s="10" t="str">
        <f t="shared" si="20"/>
        <v>2024-10</v>
      </c>
      <c r="H84" s="10" t="str">
        <f t="shared" si="21"/>
        <v>Monday</v>
      </c>
      <c r="I84" s="10" t="str">
        <f t="shared" si="22"/>
        <v>Weekday</v>
      </c>
      <c r="J84" t="s">
        <v>19</v>
      </c>
      <c r="K84" t="s">
        <v>32</v>
      </c>
      <c r="L84" t="s">
        <v>26</v>
      </c>
      <c r="M84">
        <v>16800</v>
      </c>
      <c r="N84">
        <v>1</v>
      </c>
      <c r="O84">
        <f t="shared" si="23"/>
        <v>16800</v>
      </c>
    </row>
    <row r="85" spans="1:15">
      <c r="A85">
        <v>1084</v>
      </c>
      <c r="B85" s="8">
        <v>45633</v>
      </c>
      <c r="C85" s="10">
        <f t="shared" si="16"/>
        <v>2024</v>
      </c>
      <c r="D85" s="10">
        <f t="shared" si="17"/>
        <v>12</v>
      </c>
      <c r="E85" s="10" t="str">
        <f t="shared" si="18"/>
        <v>December</v>
      </c>
      <c r="F85" s="10" t="str">
        <f t="shared" si="19"/>
        <v>Q4</v>
      </c>
      <c r="G85" s="10" t="str">
        <f t="shared" si="20"/>
        <v>2024-12</v>
      </c>
      <c r="H85" s="10" t="str">
        <f t="shared" si="21"/>
        <v>Saturday</v>
      </c>
      <c r="I85" s="10" t="str">
        <f t="shared" si="22"/>
        <v>Weekend</v>
      </c>
      <c r="J85" t="s">
        <v>18</v>
      </c>
      <c r="K85" t="s">
        <v>30</v>
      </c>
      <c r="L85" t="s">
        <v>24</v>
      </c>
      <c r="M85">
        <v>22500</v>
      </c>
      <c r="N85">
        <v>1</v>
      </c>
      <c r="O85">
        <f t="shared" si="23"/>
        <v>22500</v>
      </c>
    </row>
    <row r="86" spans="1:15">
      <c r="A86">
        <v>1085</v>
      </c>
      <c r="B86" s="8">
        <v>45487</v>
      </c>
      <c r="C86" s="10">
        <f t="shared" si="16"/>
        <v>2024</v>
      </c>
      <c r="D86" s="10">
        <f t="shared" si="17"/>
        <v>7</v>
      </c>
      <c r="E86" s="10" t="str">
        <f t="shared" si="18"/>
        <v>July</v>
      </c>
      <c r="F86" s="10" t="str">
        <f t="shared" si="19"/>
        <v>Q3</v>
      </c>
      <c r="G86" s="10" t="str">
        <f t="shared" si="20"/>
        <v>2024-07</v>
      </c>
      <c r="H86" s="10" t="str">
        <f t="shared" si="21"/>
        <v>Sunday</v>
      </c>
      <c r="I86" s="10" t="str">
        <f t="shared" si="22"/>
        <v>Weekend</v>
      </c>
      <c r="J86" t="s">
        <v>17</v>
      </c>
      <c r="K86" t="s">
        <v>29</v>
      </c>
      <c r="L86" t="s">
        <v>24</v>
      </c>
      <c r="M86">
        <v>28500</v>
      </c>
      <c r="N86">
        <v>1</v>
      </c>
      <c r="O86">
        <f t="shared" si="23"/>
        <v>28500</v>
      </c>
    </row>
    <row r="87" spans="1:15">
      <c r="A87">
        <v>1086</v>
      </c>
      <c r="B87" s="8">
        <v>45489</v>
      </c>
      <c r="C87" s="10">
        <f t="shared" si="16"/>
        <v>2024</v>
      </c>
      <c r="D87" s="10">
        <f t="shared" si="17"/>
        <v>7</v>
      </c>
      <c r="E87" s="10" t="str">
        <f t="shared" si="18"/>
        <v>July</v>
      </c>
      <c r="F87" s="10" t="str">
        <f t="shared" si="19"/>
        <v>Q3</v>
      </c>
      <c r="G87" s="10" t="str">
        <f t="shared" si="20"/>
        <v>2024-07</v>
      </c>
      <c r="H87" s="10" t="str">
        <f t="shared" si="21"/>
        <v>Tuesday</v>
      </c>
      <c r="I87" s="10" t="str">
        <f t="shared" si="22"/>
        <v>Weekday</v>
      </c>
      <c r="J87" t="s">
        <v>20</v>
      </c>
      <c r="K87" t="s">
        <v>28</v>
      </c>
      <c r="L87" t="s">
        <v>24</v>
      </c>
      <c r="M87">
        <v>68000</v>
      </c>
      <c r="N87">
        <v>1</v>
      </c>
      <c r="O87">
        <f t="shared" si="23"/>
        <v>68000</v>
      </c>
    </row>
    <row r="88" spans="1:15">
      <c r="A88">
        <v>1087</v>
      </c>
      <c r="B88" s="8">
        <v>45491</v>
      </c>
      <c r="C88" s="10">
        <f t="shared" si="16"/>
        <v>2024</v>
      </c>
      <c r="D88" s="10">
        <f t="shared" si="17"/>
        <v>7</v>
      </c>
      <c r="E88" s="10" t="str">
        <f t="shared" si="18"/>
        <v>July</v>
      </c>
      <c r="F88" s="10" t="str">
        <f t="shared" si="19"/>
        <v>Q3</v>
      </c>
      <c r="G88" s="10" t="str">
        <f t="shared" si="20"/>
        <v>2024-07</v>
      </c>
      <c r="H88" s="10" t="str">
        <f t="shared" si="21"/>
        <v>Thursday</v>
      </c>
      <c r="I88" s="10" t="str">
        <f t="shared" si="22"/>
        <v>Weekday</v>
      </c>
      <c r="J88" t="s">
        <v>19</v>
      </c>
      <c r="K88" t="s">
        <v>31</v>
      </c>
      <c r="L88" t="s">
        <v>25</v>
      </c>
      <c r="M88">
        <v>9000</v>
      </c>
      <c r="N88">
        <v>2</v>
      </c>
      <c r="O88">
        <f t="shared" si="23"/>
        <v>18000</v>
      </c>
    </row>
    <row r="89" spans="1:15">
      <c r="A89">
        <v>1088</v>
      </c>
      <c r="B89" s="8">
        <v>45493</v>
      </c>
      <c r="C89" s="10">
        <f t="shared" si="16"/>
        <v>2024</v>
      </c>
      <c r="D89" s="10">
        <f t="shared" si="17"/>
        <v>7</v>
      </c>
      <c r="E89" s="10" t="str">
        <f t="shared" si="18"/>
        <v>July</v>
      </c>
      <c r="F89" s="10" t="str">
        <f t="shared" si="19"/>
        <v>Q3</v>
      </c>
      <c r="G89" s="10" t="str">
        <f t="shared" si="20"/>
        <v>2024-07</v>
      </c>
      <c r="H89" s="10" t="str">
        <f t="shared" si="21"/>
        <v>Saturday</v>
      </c>
      <c r="I89" s="10" t="str">
        <f t="shared" si="22"/>
        <v>Weekend</v>
      </c>
      <c r="J89" t="s">
        <v>18</v>
      </c>
      <c r="K89" t="s">
        <v>33</v>
      </c>
      <c r="L89" t="s">
        <v>25</v>
      </c>
      <c r="M89">
        <v>15500</v>
      </c>
      <c r="N89">
        <v>1</v>
      </c>
      <c r="O89">
        <f t="shared" si="23"/>
        <v>15500</v>
      </c>
    </row>
    <row r="90" spans="1:15">
      <c r="A90">
        <v>1089</v>
      </c>
      <c r="B90" s="8">
        <v>45495</v>
      </c>
      <c r="C90" s="10">
        <f t="shared" si="16"/>
        <v>2024</v>
      </c>
      <c r="D90" s="10">
        <f t="shared" si="17"/>
        <v>7</v>
      </c>
      <c r="E90" s="10" t="str">
        <f t="shared" si="18"/>
        <v>July</v>
      </c>
      <c r="F90" s="10" t="str">
        <f t="shared" si="19"/>
        <v>Q3</v>
      </c>
      <c r="G90" s="10" t="str">
        <f t="shared" si="20"/>
        <v>2024-07</v>
      </c>
      <c r="H90" s="10" t="str">
        <f t="shared" si="21"/>
        <v>Monday</v>
      </c>
      <c r="I90" s="10" t="str">
        <f t="shared" si="22"/>
        <v>Weekday</v>
      </c>
      <c r="J90" t="s">
        <v>17</v>
      </c>
      <c r="K90" t="s">
        <v>32</v>
      </c>
      <c r="L90" t="s">
        <v>26</v>
      </c>
      <c r="M90">
        <v>18500</v>
      </c>
      <c r="N90">
        <v>1</v>
      </c>
      <c r="O90">
        <f t="shared" si="23"/>
        <v>18500</v>
      </c>
    </row>
    <row r="91" spans="1:15">
      <c r="A91">
        <v>1090</v>
      </c>
      <c r="B91" s="8">
        <v>45497</v>
      </c>
      <c r="C91" s="10">
        <f t="shared" si="16"/>
        <v>2024</v>
      </c>
      <c r="D91" s="10">
        <f t="shared" si="17"/>
        <v>7</v>
      </c>
      <c r="E91" s="10" t="str">
        <f t="shared" si="18"/>
        <v>July</v>
      </c>
      <c r="F91" s="10" t="str">
        <f t="shared" si="19"/>
        <v>Q3</v>
      </c>
      <c r="G91" s="10" t="str">
        <f t="shared" si="20"/>
        <v>2024-07</v>
      </c>
      <c r="H91" s="10" t="str">
        <f t="shared" si="21"/>
        <v>Wednesday</v>
      </c>
      <c r="I91" s="10" t="str">
        <f t="shared" si="22"/>
        <v>Weekday</v>
      </c>
      <c r="J91" t="s">
        <v>20</v>
      </c>
      <c r="K91" t="s">
        <v>30</v>
      </c>
      <c r="L91" t="s">
        <v>24</v>
      </c>
      <c r="M91">
        <v>24000</v>
      </c>
      <c r="N91">
        <v>1</v>
      </c>
      <c r="O91">
        <f t="shared" si="23"/>
        <v>24000</v>
      </c>
    </row>
    <row r="92" spans="1:15">
      <c r="A92">
        <v>1091</v>
      </c>
      <c r="B92" s="8">
        <v>45499</v>
      </c>
      <c r="C92" s="10">
        <f t="shared" si="16"/>
        <v>2024</v>
      </c>
      <c r="D92" s="10">
        <f t="shared" si="17"/>
        <v>7</v>
      </c>
      <c r="E92" s="10" t="str">
        <f t="shared" si="18"/>
        <v>July</v>
      </c>
      <c r="F92" s="10" t="str">
        <f t="shared" si="19"/>
        <v>Q3</v>
      </c>
      <c r="G92" s="10" t="str">
        <f t="shared" si="20"/>
        <v>2024-07</v>
      </c>
      <c r="H92" s="10" t="str">
        <f t="shared" si="21"/>
        <v>Friday</v>
      </c>
      <c r="I92" s="10" t="str">
        <f t="shared" si="22"/>
        <v>Weekday</v>
      </c>
      <c r="J92" t="s">
        <v>19</v>
      </c>
      <c r="K92" t="s">
        <v>29</v>
      </c>
      <c r="L92" t="s">
        <v>24</v>
      </c>
      <c r="M92">
        <v>25500</v>
      </c>
      <c r="N92">
        <v>1</v>
      </c>
      <c r="O92">
        <f t="shared" si="23"/>
        <v>25500</v>
      </c>
    </row>
    <row r="93" spans="1:15">
      <c r="A93">
        <v>1092</v>
      </c>
      <c r="B93" s="8">
        <v>45501</v>
      </c>
      <c r="C93" s="10">
        <f t="shared" si="16"/>
        <v>2024</v>
      </c>
      <c r="D93" s="10">
        <f t="shared" si="17"/>
        <v>7</v>
      </c>
      <c r="E93" s="10" t="str">
        <f t="shared" si="18"/>
        <v>July</v>
      </c>
      <c r="F93" s="10" t="str">
        <f t="shared" si="19"/>
        <v>Q3</v>
      </c>
      <c r="G93" s="10" t="str">
        <f t="shared" si="20"/>
        <v>2024-07</v>
      </c>
      <c r="H93" s="10" t="str">
        <f t="shared" si="21"/>
        <v>Sunday</v>
      </c>
      <c r="I93" s="10" t="str">
        <f t="shared" si="22"/>
        <v>Weekend</v>
      </c>
      <c r="J93" t="s">
        <v>18</v>
      </c>
      <c r="K93" t="s">
        <v>28</v>
      </c>
      <c r="L93" t="s">
        <v>24</v>
      </c>
      <c r="M93">
        <v>63000</v>
      </c>
      <c r="N93">
        <v>1</v>
      </c>
      <c r="O93">
        <f t="shared" si="23"/>
        <v>63000</v>
      </c>
    </row>
    <row r="94" spans="1:15">
      <c r="A94">
        <v>1093</v>
      </c>
      <c r="B94" s="8">
        <v>45503</v>
      </c>
      <c r="C94" s="10">
        <f t="shared" si="16"/>
        <v>2024</v>
      </c>
      <c r="D94" s="10">
        <f t="shared" si="17"/>
        <v>7</v>
      </c>
      <c r="E94" s="10" t="str">
        <f t="shared" si="18"/>
        <v>July</v>
      </c>
      <c r="F94" s="10" t="str">
        <f t="shared" si="19"/>
        <v>Q3</v>
      </c>
      <c r="G94" s="10" t="str">
        <f t="shared" si="20"/>
        <v>2024-07</v>
      </c>
      <c r="H94" s="10" t="str">
        <f t="shared" si="21"/>
        <v>Tuesday</v>
      </c>
      <c r="I94" s="10" t="str">
        <f t="shared" si="22"/>
        <v>Weekday</v>
      </c>
      <c r="J94" t="s">
        <v>17</v>
      </c>
      <c r="K94" t="s">
        <v>31</v>
      </c>
      <c r="L94" t="s">
        <v>25</v>
      </c>
      <c r="M94">
        <v>9800</v>
      </c>
      <c r="N94">
        <v>2</v>
      </c>
      <c r="O94">
        <f t="shared" si="23"/>
        <v>19600</v>
      </c>
    </row>
    <row r="95" spans="1:15">
      <c r="A95">
        <v>1094</v>
      </c>
      <c r="B95" s="8">
        <v>45299</v>
      </c>
      <c r="C95" s="10">
        <f t="shared" si="16"/>
        <v>2024</v>
      </c>
      <c r="D95" s="10">
        <f t="shared" si="17"/>
        <v>1</v>
      </c>
      <c r="E95" s="10" t="str">
        <f t="shared" si="18"/>
        <v>January</v>
      </c>
      <c r="F95" s="10" t="str">
        <f t="shared" si="19"/>
        <v>Q1</v>
      </c>
      <c r="G95" s="10" t="str">
        <f t="shared" si="20"/>
        <v>2024-01</v>
      </c>
      <c r="H95" s="10" t="str">
        <f t="shared" si="21"/>
        <v>Monday</v>
      </c>
      <c r="I95" s="10" t="str">
        <f t="shared" si="22"/>
        <v>Weekday</v>
      </c>
      <c r="J95" t="s">
        <v>20</v>
      </c>
      <c r="K95" t="s">
        <v>33</v>
      </c>
      <c r="L95" t="s">
        <v>25</v>
      </c>
      <c r="M95">
        <v>15200</v>
      </c>
      <c r="N95">
        <v>1</v>
      </c>
      <c r="O95">
        <f t="shared" si="23"/>
        <v>15200</v>
      </c>
    </row>
    <row r="96" spans="1:15">
      <c r="A96">
        <v>1095</v>
      </c>
      <c r="B96" s="8">
        <v>45359</v>
      </c>
      <c r="C96" s="10">
        <f t="shared" si="16"/>
        <v>2024</v>
      </c>
      <c r="D96" s="10">
        <f t="shared" si="17"/>
        <v>3</v>
      </c>
      <c r="E96" s="10" t="str">
        <f t="shared" si="18"/>
        <v>March</v>
      </c>
      <c r="F96" s="10" t="str">
        <f t="shared" si="19"/>
        <v>Q1</v>
      </c>
      <c r="G96" s="10" t="str">
        <f t="shared" si="20"/>
        <v>2024-03</v>
      </c>
      <c r="H96" s="10" t="str">
        <f t="shared" si="21"/>
        <v>Friday</v>
      </c>
      <c r="I96" s="10" t="str">
        <f t="shared" si="22"/>
        <v>Weekday</v>
      </c>
      <c r="J96" t="s">
        <v>19</v>
      </c>
      <c r="K96" t="s">
        <v>32</v>
      </c>
      <c r="L96" t="s">
        <v>26</v>
      </c>
      <c r="M96">
        <v>17200</v>
      </c>
      <c r="N96">
        <v>1</v>
      </c>
      <c r="O96">
        <f t="shared" si="23"/>
        <v>17200</v>
      </c>
    </row>
    <row r="97" spans="1:15">
      <c r="A97">
        <v>1096</v>
      </c>
      <c r="B97" s="8">
        <v>45420</v>
      </c>
      <c r="C97" s="10">
        <f t="shared" si="16"/>
        <v>2024</v>
      </c>
      <c r="D97" s="10">
        <f t="shared" si="17"/>
        <v>5</v>
      </c>
      <c r="E97" s="10" t="str">
        <f t="shared" si="18"/>
        <v>May</v>
      </c>
      <c r="F97" s="10" t="str">
        <f t="shared" si="19"/>
        <v>Q2</v>
      </c>
      <c r="G97" s="10" t="str">
        <f t="shared" si="20"/>
        <v>2024-05</v>
      </c>
      <c r="H97" s="10" t="str">
        <f t="shared" si="21"/>
        <v>Wednesday</v>
      </c>
      <c r="I97" s="10" t="str">
        <f t="shared" si="22"/>
        <v>Weekday</v>
      </c>
      <c r="J97" t="s">
        <v>18</v>
      </c>
      <c r="K97" t="s">
        <v>30</v>
      </c>
      <c r="L97" t="s">
        <v>24</v>
      </c>
      <c r="M97">
        <v>23000</v>
      </c>
      <c r="N97">
        <v>1</v>
      </c>
      <c r="O97">
        <f t="shared" si="23"/>
        <v>23000</v>
      </c>
    </row>
    <row r="98" spans="1:15">
      <c r="A98">
        <v>1097</v>
      </c>
      <c r="B98" s="8">
        <v>45481</v>
      </c>
      <c r="C98" s="10">
        <f t="shared" ref="C98:C129" si="24">YEAR(B98)</f>
        <v>2024</v>
      </c>
      <c r="D98" s="10">
        <f t="shared" ref="D98:D111" si="25">MONTH(B98)</f>
        <v>7</v>
      </c>
      <c r="E98" s="10" t="str">
        <f t="shared" ref="E98:E111" si="26">TEXT(B98,"mmmm")</f>
        <v>July</v>
      </c>
      <c r="F98" s="10" t="str">
        <f t="shared" ref="F98:F111" si="27">"Q"&amp;ROUNDUP(MONTH(B98)/3,0)</f>
        <v>Q3</v>
      </c>
      <c r="G98" s="10" t="str">
        <f t="shared" ref="G98:G111" si="28">TEXT(B98,"yyyy-mm")</f>
        <v>2024-07</v>
      </c>
      <c r="H98" s="10" t="str">
        <f t="shared" ref="H98:H111" si="29">TEXT(B98,"dddd")</f>
        <v>Monday</v>
      </c>
      <c r="I98" s="10" t="str">
        <f t="shared" ref="I98:I129" si="30">IF(OR(H98="Saturday",H98="Sunday"),"Weekend","Weekday")</f>
        <v>Weekday</v>
      </c>
      <c r="J98" t="s">
        <v>17</v>
      </c>
      <c r="K98" t="s">
        <v>29</v>
      </c>
      <c r="L98" t="s">
        <v>24</v>
      </c>
      <c r="M98">
        <v>29000</v>
      </c>
      <c r="N98">
        <v>1</v>
      </c>
      <c r="O98">
        <f t="shared" ref="O98:O129" si="31" xml:space="preserve"> M98*N98</f>
        <v>29000</v>
      </c>
    </row>
    <row r="99" spans="1:15">
      <c r="A99">
        <v>1098</v>
      </c>
      <c r="B99" s="8">
        <v>45543</v>
      </c>
      <c r="C99" s="10">
        <f t="shared" si="24"/>
        <v>2024</v>
      </c>
      <c r="D99" s="10">
        <f t="shared" si="25"/>
        <v>9</v>
      </c>
      <c r="E99" s="10" t="str">
        <f t="shared" si="26"/>
        <v>September</v>
      </c>
      <c r="F99" s="10" t="str">
        <f t="shared" si="27"/>
        <v>Q3</v>
      </c>
      <c r="G99" s="10" t="str">
        <f t="shared" si="28"/>
        <v>2024-09</v>
      </c>
      <c r="H99" s="10" t="str">
        <f t="shared" si="29"/>
        <v>Sunday</v>
      </c>
      <c r="I99" s="10" t="str">
        <f t="shared" si="30"/>
        <v>Weekend</v>
      </c>
      <c r="J99" t="s">
        <v>20</v>
      </c>
      <c r="K99" t="s">
        <v>28</v>
      </c>
      <c r="L99" t="s">
        <v>24</v>
      </c>
      <c r="M99">
        <v>69000</v>
      </c>
      <c r="N99">
        <v>1</v>
      </c>
      <c r="O99">
        <f t="shared" si="31"/>
        <v>69000</v>
      </c>
    </row>
    <row r="100" spans="1:15">
      <c r="A100">
        <v>1099</v>
      </c>
      <c r="B100" s="8">
        <v>45604</v>
      </c>
      <c r="C100" s="10">
        <f t="shared" si="24"/>
        <v>2024</v>
      </c>
      <c r="D100" s="10">
        <f t="shared" si="25"/>
        <v>11</v>
      </c>
      <c r="E100" s="10" t="str">
        <f t="shared" si="26"/>
        <v>November</v>
      </c>
      <c r="F100" s="10" t="str">
        <f t="shared" si="27"/>
        <v>Q4</v>
      </c>
      <c r="G100" s="10" t="str">
        <f t="shared" si="28"/>
        <v>2024-11</v>
      </c>
      <c r="H100" s="10" t="str">
        <f t="shared" si="29"/>
        <v>Friday</v>
      </c>
      <c r="I100" s="10" t="str">
        <f t="shared" si="30"/>
        <v>Weekday</v>
      </c>
      <c r="J100" t="s">
        <v>19</v>
      </c>
      <c r="K100" t="s">
        <v>31</v>
      </c>
      <c r="L100" t="s">
        <v>25</v>
      </c>
      <c r="M100">
        <v>9200</v>
      </c>
      <c r="N100">
        <v>2</v>
      </c>
      <c r="O100">
        <f t="shared" si="31"/>
        <v>18400</v>
      </c>
    </row>
    <row r="101" spans="1:15">
      <c r="A101">
        <v>1100</v>
      </c>
      <c r="B101" s="8">
        <v>45517</v>
      </c>
      <c r="C101" s="10">
        <f t="shared" si="24"/>
        <v>2024</v>
      </c>
      <c r="D101" s="10">
        <f t="shared" si="25"/>
        <v>8</v>
      </c>
      <c r="E101" s="10" t="str">
        <f t="shared" si="26"/>
        <v>August</v>
      </c>
      <c r="F101" s="10" t="str">
        <f t="shared" si="27"/>
        <v>Q3</v>
      </c>
      <c r="G101" s="10" t="str">
        <f t="shared" si="28"/>
        <v>2024-08</v>
      </c>
      <c r="H101" s="10" t="str">
        <f t="shared" si="29"/>
        <v>Tuesday</v>
      </c>
      <c r="I101" s="10" t="str">
        <f t="shared" si="30"/>
        <v>Weekday</v>
      </c>
      <c r="J101" t="s">
        <v>18</v>
      </c>
      <c r="K101" t="s">
        <v>33</v>
      </c>
      <c r="L101" t="s">
        <v>25</v>
      </c>
      <c r="M101">
        <v>15800</v>
      </c>
      <c r="N101">
        <v>1</v>
      </c>
      <c r="O101">
        <f t="shared" si="31"/>
        <v>15800</v>
      </c>
    </row>
    <row r="102" spans="1:15">
      <c r="A102">
        <v>1151</v>
      </c>
      <c r="B102" s="8">
        <v>45519</v>
      </c>
      <c r="C102" s="10">
        <f t="shared" si="24"/>
        <v>2024</v>
      </c>
      <c r="D102" s="10">
        <f t="shared" si="25"/>
        <v>8</v>
      </c>
      <c r="E102" s="10" t="str">
        <f t="shared" si="26"/>
        <v>August</v>
      </c>
      <c r="F102" s="10" t="str">
        <f t="shared" si="27"/>
        <v>Q3</v>
      </c>
      <c r="G102" s="10" t="str">
        <f t="shared" si="28"/>
        <v>2024-08</v>
      </c>
      <c r="H102" s="10" t="str">
        <f t="shared" si="29"/>
        <v>Thursday</v>
      </c>
      <c r="I102" s="10" t="str">
        <f t="shared" si="30"/>
        <v>Weekday</v>
      </c>
      <c r="J102" t="s">
        <v>17</v>
      </c>
      <c r="K102" t="s">
        <v>32</v>
      </c>
      <c r="L102" t="s">
        <v>26</v>
      </c>
      <c r="M102">
        <v>19000</v>
      </c>
      <c r="N102">
        <v>1</v>
      </c>
      <c r="O102">
        <f t="shared" si="31"/>
        <v>19000</v>
      </c>
    </row>
    <row r="103" spans="1:15">
      <c r="A103">
        <v>1152</v>
      </c>
      <c r="B103" s="8">
        <v>45521</v>
      </c>
      <c r="C103" s="10">
        <f t="shared" si="24"/>
        <v>2024</v>
      </c>
      <c r="D103" s="10">
        <f t="shared" si="25"/>
        <v>8</v>
      </c>
      <c r="E103" s="10" t="str">
        <f t="shared" si="26"/>
        <v>August</v>
      </c>
      <c r="F103" s="10" t="str">
        <f t="shared" si="27"/>
        <v>Q3</v>
      </c>
      <c r="G103" s="10" t="str">
        <f t="shared" si="28"/>
        <v>2024-08</v>
      </c>
      <c r="H103" s="10" t="str">
        <f t="shared" si="29"/>
        <v>Saturday</v>
      </c>
      <c r="I103" s="10" t="str">
        <f t="shared" si="30"/>
        <v>Weekend</v>
      </c>
      <c r="J103" t="s">
        <v>20</v>
      </c>
      <c r="K103" t="s">
        <v>30</v>
      </c>
      <c r="L103" t="s">
        <v>24</v>
      </c>
      <c r="M103">
        <v>24500</v>
      </c>
      <c r="N103">
        <v>1</v>
      </c>
      <c r="O103">
        <f t="shared" si="31"/>
        <v>24500</v>
      </c>
    </row>
    <row r="104" spans="1:15">
      <c r="A104">
        <v>1153</v>
      </c>
      <c r="B104" s="8">
        <v>45523</v>
      </c>
      <c r="C104" s="10">
        <f t="shared" si="24"/>
        <v>2024</v>
      </c>
      <c r="D104" s="10">
        <f t="shared" si="25"/>
        <v>8</v>
      </c>
      <c r="E104" s="10" t="str">
        <f t="shared" si="26"/>
        <v>August</v>
      </c>
      <c r="F104" s="10" t="str">
        <f t="shared" si="27"/>
        <v>Q3</v>
      </c>
      <c r="G104" s="10" t="str">
        <f t="shared" si="28"/>
        <v>2024-08</v>
      </c>
      <c r="H104" s="10" t="str">
        <f t="shared" si="29"/>
        <v>Monday</v>
      </c>
      <c r="I104" s="10" t="str">
        <f t="shared" si="30"/>
        <v>Weekday</v>
      </c>
      <c r="J104" t="s">
        <v>19</v>
      </c>
      <c r="K104" t="s">
        <v>29</v>
      </c>
      <c r="L104" t="s">
        <v>24</v>
      </c>
      <c r="M104">
        <v>26000</v>
      </c>
      <c r="N104">
        <v>1</v>
      </c>
      <c r="O104">
        <f t="shared" si="31"/>
        <v>26000</v>
      </c>
    </row>
    <row r="105" spans="1:15">
      <c r="A105">
        <v>1154</v>
      </c>
      <c r="B105" s="8">
        <v>45525</v>
      </c>
      <c r="C105" s="10">
        <f t="shared" si="24"/>
        <v>2024</v>
      </c>
      <c r="D105" s="10">
        <f t="shared" si="25"/>
        <v>8</v>
      </c>
      <c r="E105" s="10" t="str">
        <f t="shared" si="26"/>
        <v>August</v>
      </c>
      <c r="F105" s="10" t="str">
        <f t="shared" si="27"/>
        <v>Q3</v>
      </c>
      <c r="G105" s="10" t="str">
        <f t="shared" si="28"/>
        <v>2024-08</v>
      </c>
      <c r="H105" s="10" t="str">
        <f t="shared" si="29"/>
        <v>Wednesday</v>
      </c>
      <c r="I105" s="10" t="str">
        <f t="shared" si="30"/>
        <v>Weekday</v>
      </c>
      <c r="J105" t="s">
        <v>18</v>
      </c>
      <c r="K105" t="s">
        <v>28</v>
      </c>
      <c r="L105" t="s">
        <v>24</v>
      </c>
      <c r="M105">
        <v>64000</v>
      </c>
      <c r="N105">
        <v>1</v>
      </c>
      <c r="O105">
        <f t="shared" si="31"/>
        <v>64000</v>
      </c>
    </row>
    <row r="106" spans="1:15">
      <c r="A106">
        <v>1155</v>
      </c>
      <c r="B106" s="8">
        <v>45527</v>
      </c>
      <c r="C106" s="10">
        <f t="shared" si="24"/>
        <v>2024</v>
      </c>
      <c r="D106" s="10">
        <f t="shared" si="25"/>
        <v>8</v>
      </c>
      <c r="E106" s="10" t="str">
        <f t="shared" si="26"/>
        <v>August</v>
      </c>
      <c r="F106" s="10" t="str">
        <f t="shared" si="27"/>
        <v>Q3</v>
      </c>
      <c r="G106" s="10" t="str">
        <f t="shared" si="28"/>
        <v>2024-08</v>
      </c>
      <c r="H106" s="10" t="str">
        <f t="shared" si="29"/>
        <v>Friday</v>
      </c>
      <c r="I106" s="10" t="str">
        <f t="shared" si="30"/>
        <v>Weekday</v>
      </c>
      <c r="J106" t="s">
        <v>17</v>
      </c>
      <c r="K106" t="s">
        <v>31</v>
      </c>
      <c r="L106" t="s">
        <v>25</v>
      </c>
      <c r="M106">
        <v>10000</v>
      </c>
      <c r="N106">
        <v>2</v>
      </c>
      <c r="O106">
        <f t="shared" si="31"/>
        <v>20000</v>
      </c>
    </row>
    <row r="107" spans="1:15">
      <c r="A107">
        <v>1156</v>
      </c>
      <c r="B107" s="8">
        <v>45529</v>
      </c>
      <c r="C107" s="10">
        <f t="shared" si="24"/>
        <v>2024</v>
      </c>
      <c r="D107" s="10">
        <f t="shared" si="25"/>
        <v>8</v>
      </c>
      <c r="E107" s="10" t="str">
        <f t="shared" si="26"/>
        <v>August</v>
      </c>
      <c r="F107" s="10" t="str">
        <f t="shared" si="27"/>
        <v>Q3</v>
      </c>
      <c r="G107" s="10" t="str">
        <f t="shared" si="28"/>
        <v>2024-08</v>
      </c>
      <c r="H107" s="10" t="str">
        <f t="shared" si="29"/>
        <v>Sunday</v>
      </c>
      <c r="I107" s="10" t="str">
        <f t="shared" si="30"/>
        <v>Weekend</v>
      </c>
      <c r="J107" t="s">
        <v>20</v>
      </c>
      <c r="K107" t="s">
        <v>33</v>
      </c>
      <c r="L107" t="s">
        <v>25</v>
      </c>
      <c r="M107">
        <v>16000</v>
      </c>
      <c r="N107">
        <v>1</v>
      </c>
      <c r="O107">
        <f t="shared" si="31"/>
        <v>16000</v>
      </c>
    </row>
    <row r="108" spans="1:15">
      <c r="A108">
        <v>1157</v>
      </c>
      <c r="B108" s="8">
        <v>45531</v>
      </c>
      <c r="C108" s="10">
        <f t="shared" si="24"/>
        <v>2024</v>
      </c>
      <c r="D108" s="10">
        <f t="shared" si="25"/>
        <v>8</v>
      </c>
      <c r="E108" s="10" t="str">
        <f t="shared" si="26"/>
        <v>August</v>
      </c>
      <c r="F108" s="10" t="str">
        <f t="shared" si="27"/>
        <v>Q3</v>
      </c>
      <c r="G108" s="10" t="str">
        <f t="shared" si="28"/>
        <v>2024-08</v>
      </c>
      <c r="H108" s="10" t="str">
        <f t="shared" si="29"/>
        <v>Tuesday</v>
      </c>
      <c r="I108" s="10" t="str">
        <f t="shared" si="30"/>
        <v>Weekday</v>
      </c>
      <c r="J108" t="s">
        <v>19</v>
      </c>
      <c r="K108" t="s">
        <v>32</v>
      </c>
      <c r="L108" t="s">
        <v>26</v>
      </c>
      <c r="M108">
        <v>17500</v>
      </c>
      <c r="N108">
        <v>1</v>
      </c>
      <c r="O108">
        <f t="shared" si="31"/>
        <v>17500</v>
      </c>
    </row>
    <row r="109" spans="1:15">
      <c r="A109">
        <v>1158</v>
      </c>
      <c r="B109" s="8">
        <v>45533</v>
      </c>
      <c r="C109" s="10">
        <f t="shared" si="24"/>
        <v>2024</v>
      </c>
      <c r="D109" s="10">
        <f t="shared" si="25"/>
        <v>8</v>
      </c>
      <c r="E109" s="10" t="str">
        <f t="shared" si="26"/>
        <v>August</v>
      </c>
      <c r="F109" s="10" t="str">
        <f t="shared" si="27"/>
        <v>Q3</v>
      </c>
      <c r="G109" s="10" t="str">
        <f t="shared" si="28"/>
        <v>2024-08</v>
      </c>
      <c r="H109" s="10" t="str">
        <f t="shared" si="29"/>
        <v>Thursday</v>
      </c>
      <c r="I109" s="10" t="str">
        <f t="shared" si="30"/>
        <v>Weekday</v>
      </c>
      <c r="J109" t="s">
        <v>18</v>
      </c>
      <c r="K109" t="s">
        <v>30</v>
      </c>
      <c r="L109" t="s">
        <v>24</v>
      </c>
      <c r="M109">
        <v>23500</v>
      </c>
      <c r="N109">
        <v>1</v>
      </c>
      <c r="O109">
        <f t="shared" si="31"/>
        <v>23500</v>
      </c>
    </row>
    <row r="110" spans="1:15">
      <c r="A110">
        <v>1159</v>
      </c>
      <c r="B110" s="8">
        <v>45535</v>
      </c>
      <c r="C110" s="10">
        <f t="shared" si="24"/>
        <v>2024</v>
      </c>
      <c r="D110" s="10">
        <f t="shared" si="25"/>
        <v>8</v>
      </c>
      <c r="E110" s="10" t="str">
        <f t="shared" si="26"/>
        <v>August</v>
      </c>
      <c r="F110" s="10" t="str">
        <f t="shared" si="27"/>
        <v>Q3</v>
      </c>
      <c r="G110" s="10" t="str">
        <f t="shared" si="28"/>
        <v>2024-08</v>
      </c>
      <c r="H110" s="10" t="str">
        <f t="shared" si="29"/>
        <v>Saturday</v>
      </c>
      <c r="I110" s="10" t="str">
        <f t="shared" si="30"/>
        <v>Weekend</v>
      </c>
      <c r="J110" t="s">
        <v>17</v>
      </c>
      <c r="K110" t="s">
        <v>29</v>
      </c>
      <c r="L110" t="s">
        <v>24</v>
      </c>
      <c r="M110">
        <v>29500</v>
      </c>
      <c r="N110">
        <v>1</v>
      </c>
      <c r="O110">
        <f t="shared" si="31"/>
        <v>29500</v>
      </c>
    </row>
    <row r="111" spans="1:15">
      <c r="A111">
        <v>1160</v>
      </c>
      <c r="B111" s="8">
        <v>45331</v>
      </c>
      <c r="C111" s="10">
        <f t="shared" si="24"/>
        <v>2024</v>
      </c>
      <c r="D111" s="10">
        <f t="shared" si="25"/>
        <v>2</v>
      </c>
      <c r="E111" s="10" t="str">
        <f t="shared" si="26"/>
        <v>February</v>
      </c>
      <c r="F111" s="10" t="str">
        <f t="shared" si="27"/>
        <v>Q1</v>
      </c>
      <c r="G111" s="10" t="str">
        <f t="shared" si="28"/>
        <v>2024-02</v>
      </c>
      <c r="H111" s="10" t="str">
        <f t="shared" si="29"/>
        <v>Friday</v>
      </c>
      <c r="I111" s="10" t="str">
        <f t="shared" si="30"/>
        <v>Weekday</v>
      </c>
      <c r="J111" t="s">
        <v>20</v>
      </c>
      <c r="K111" t="s">
        <v>28</v>
      </c>
      <c r="L111" t="s">
        <v>24</v>
      </c>
      <c r="M111">
        <v>70000</v>
      </c>
      <c r="N111">
        <v>1</v>
      </c>
      <c r="O111">
        <f t="shared" si="31"/>
        <v>70000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2025-12-22T09:16:43Z</dcterms:created>
  <dcterms:modified xsi:type="dcterms:W3CDTF">2025-12-23T09:40:30Z</dcterms:modified>
  <cp:category/>
  <cp:contentStatus/>
</cp:coreProperties>
</file>